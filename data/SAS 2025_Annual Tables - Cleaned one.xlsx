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Hackathon\"/>
    </mc:Choice>
  </mc:AlternateContent>
  <xr:revisionPtr revIDLastSave="0" documentId="13_ncr:1_{FF4519C3-1440-49F8-BCCE-87437A3BC66A}" xr6:coauthVersionLast="47" xr6:coauthVersionMax="47" xr10:uidLastSave="{00000000-0000-0000-0000-000000000000}"/>
  <bookViews>
    <workbookView xWindow="-90" yWindow="0" windowWidth="9780" windowHeight="10890" tabRatio="598" firstSheet="16" activeTab="17" xr2:uid="{00000000-000D-0000-FFFF-FFFF00000000}"/>
  </bookViews>
  <sheets>
    <sheet name="Contents" sheetId="139" r:id="rId1"/>
    <sheet name="Table 0" sheetId="84" r:id="rId2"/>
    <sheet name="Table 1" sheetId="1" r:id="rId3"/>
    <sheet name="Table 2" sheetId="2" r:id="rId4"/>
    <sheet name="Table 3" sheetId="3" r:id="rId5"/>
    <sheet name="Table 4" sheetId="4" r:id="rId6"/>
    <sheet name="Table 5" sheetId="136" r:id="rId7"/>
    <sheet name="Table 6" sheetId="137" r:id="rId8"/>
    <sheet name="Table 7" sheetId="138" r:id="rId9"/>
    <sheet name="Table 19" sheetId="94" r:id="rId10"/>
    <sheet name="Table 20" sheetId="95" r:id="rId11"/>
    <sheet name="Table 21" sheetId="18" r:id="rId12"/>
    <sheet name="Table 67" sheetId="125" r:id="rId13"/>
    <sheet name="Table 68" sheetId="126" r:id="rId14"/>
    <sheet name="Table 69" sheetId="67" r:id="rId15"/>
    <sheet name="Table 70" sheetId="127" r:id="rId16"/>
    <sheet name="Table 71" sheetId="128" r:id="rId17"/>
    <sheet name="Table 72" sheetId="70" r:id="rId18"/>
  </sheets>
  <definedNames>
    <definedName name="_Hlk33513191" localSheetId="5">'Table 4'!$C$4</definedName>
    <definedName name="_Hlk37925868" localSheetId="2">'Table 1'!#REF!</definedName>
    <definedName name="_Toc154754206" localSheetId="2">'Table 1'!$B$3</definedName>
    <definedName name="_Toc154754207" localSheetId="3">'Table 2'!#REF!</definedName>
    <definedName name="_Toc154754208" localSheetId="4">'Table 3'!$B$3</definedName>
    <definedName name="_Toc154754209" localSheetId="5">'Table 4'!$C$3</definedName>
    <definedName name="_Toc154754223" localSheetId="11">'Table 21'!$B$3</definedName>
    <definedName name="_Toc154754274" localSheetId="17">'Table 72'!$B$3</definedName>
    <definedName name="_Toc99520063" localSheetId="12">'Table 67'!$B$2</definedName>
    <definedName name="_Toc99520063" localSheetId="13">'Table 68'!$B$2</definedName>
    <definedName name="_Toc99520064" localSheetId="15">'Table 70'!$B$2</definedName>
    <definedName name="_Toc99520064" localSheetId="16">'Table 71'!$B$2</definedName>
    <definedName name="_xlnm.Print_Area" localSheetId="0">Contents!$1:$92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4" l="1"/>
  <c r="F35" i="4"/>
  <c r="E35" i="4"/>
  <c r="D35" i="4"/>
  <c r="C35" i="4"/>
</calcChain>
</file>

<file path=xl/sharedStrings.xml><?xml version="1.0" encoding="utf-8"?>
<sst xmlns="http://schemas.openxmlformats.org/spreadsheetml/2006/main" count="998" uniqueCount="268">
  <si>
    <t>Land cover class name</t>
  </si>
  <si>
    <t>Area (Ha)</t>
  </si>
  <si>
    <t>Percentage share</t>
  </si>
  <si>
    <t>Non cropped wetlands</t>
  </si>
  <si>
    <t>Bare land/rocks</t>
  </si>
  <si>
    <t>Water bodies</t>
  </si>
  <si>
    <t>National parks</t>
  </si>
  <si>
    <t>Stratum</t>
  </si>
  <si>
    <t>Stratum name</t>
  </si>
  <si>
    <t>Definition</t>
  </si>
  <si>
    <t xml:space="preserve">Dominant hill crop land </t>
  </si>
  <si>
    <t>Clusters with Hillside agricultural land cover class greater or equal to 60 percent of the total area of the cluster</t>
  </si>
  <si>
    <t>Clusters with non-rice wetland land cover class greater than 25 percent of total area of the cluster</t>
  </si>
  <si>
    <t>Dominant rangeland</t>
  </si>
  <si>
    <t>Clusters with rangeland land cover class greater or equal to 60 percent of the total area of the cluster</t>
  </si>
  <si>
    <t>The rest of other possible combinations</t>
  </si>
  <si>
    <t xml:space="preserve">Excluded </t>
  </si>
  <si>
    <t>All clusters with excluded land cover classes greater or equal to 50 percent of the total area of the cluster</t>
  </si>
  <si>
    <t>Dominant wetland crops</t>
  </si>
  <si>
    <t>Mixed stratum</t>
  </si>
  <si>
    <t>Total</t>
  </si>
  <si>
    <t xml:space="preserve"> Nyarugenge </t>
  </si>
  <si>
    <t>-</t>
  </si>
  <si>
    <t xml:space="preserve"> National  </t>
  </si>
  <si>
    <t>Dominant hill crop land</t>
  </si>
  <si>
    <t>District</t>
  </si>
  <si>
    <t>Nyarugenge</t>
  </si>
  <si>
    <t>Gasabo</t>
  </si>
  <si>
    <t>Kicukiro</t>
  </si>
  <si>
    <t>Nyanza</t>
  </si>
  <si>
    <t>Gisagara</t>
  </si>
  <si>
    <t>Nyaruguru</t>
  </si>
  <si>
    <t>Huye</t>
  </si>
  <si>
    <t>Nyamagabe</t>
  </si>
  <si>
    <t>Ruhango</t>
  </si>
  <si>
    <t>Muhanga</t>
  </si>
  <si>
    <t>Kamonyi</t>
  </si>
  <si>
    <t>Karongi</t>
  </si>
  <si>
    <t>Rutsiro</t>
  </si>
  <si>
    <t>Rubavu</t>
  </si>
  <si>
    <t>Nyabihu</t>
  </si>
  <si>
    <t>Ngororero</t>
  </si>
  <si>
    <t>Rusizi</t>
  </si>
  <si>
    <t>Nyamasheke</t>
  </si>
  <si>
    <t>Rulindo</t>
  </si>
  <si>
    <t>Gakenke</t>
  </si>
  <si>
    <t>Musanze</t>
  </si>
  <si>
    <t>Burera</t>
  </si>
  <si>
    <t>Gicumbi</t>
  </si>
  <si>
    <t>Rwamagana</t>
  </si>
  <si>
    <t>Nyagatare</t>
  </si>
  <si>
    <t>Gatsibo</t>
  </si>
  <si>
    <t>Kayonza</t>
  </si>
  <si>
    <t>Kirehe</t>
  </si>
  <si>
    <t>Ngoma</t>
  </si>
  <si>
    <t>Bugesera</t>
  </si>
  <si>
    <t>Season C</t>
  </si>
  <si>
    <t>Maize</t>
  </si>
  <si>
    <t>Sorghum</t>
  </si>
  <si>
    <t>Paddy rice</t>
  </si>
  <si>
    <t>Wheat</t>
  </si>
  <si>
    <t>Cassava</t>
  </si>
  <si>
    <t>Sweet potato</t>
  </si>
  <si>
    <t>Irish potato</t>
  </si>
  <si>
    <t>Cooking banana</t>
  </si>
  <si>
    <t>Dessert banana</t>
  </si>
  <si>
    <t>Banana for beer</t>
  </si>
  <si>
    <t>Beans</t>
  </si>
  <si>
    <t>Pea</t>
  </si>
  <si>
    <t>Groundnut</t>
  </si>
  <si>
    <t>Soybean</t>
  </si>
  <si>
    <t>National</t>
  </si>
  <si>
    <t>Other cereals</t>
  </si>
  <si>
    <t>Yams &amp; Taro</t>
  </si>
  <si>
    <t>Bush bean</t>
  </si>
  <si>
    <t>Climbing bean</t>
  </si>
  <si>
    <t>Vegetables</t>
  </si>
  <si>
    <t>Fruits</t>
  </si>
  <si>
    <t>Other crops</t>
  </si>
  <si>
    <t>SSF</t>
  </si>
  <si>
    <t>LSF</t>
  </si>
  <si>
    <t>District/Crop</t>
  </si>
  <si>
    <t>Bean</t>
  </si>
  <si>
    <t>vegetables</t>
  </si>
  <si>
    <t>Fodder crops</t>
  </si>
  <si>
    <t>Sweet potatoes</t>
  </si>
  <si>
    <t>Irish potatoes</t>
  </si>
  <si>
    <t>Peas</t>
  </si>
  <si>
    <t>Tubers and Roots</t>
  </si>
  <si>
    <t xml:space="preserve"> Bean</t>
  </si>
  <si>
    <t>Banana</t>
  </si>
  <si>
    <t>Legumes and Pulses</t>
  </si>
  <si>
    <t>Modern irrigation</t>
  </si>
  <si>
    <t>Traditional techniques</t>
  </si>
  <si>
    <t>Surface irrigation</t>
  </si>
  <si>
    <t>Flood irrigation</t>
  </si>
  <si>
    <t>Drip irrigation</t>
  </si>
  <si>
    <t>Sprinkler irrigation</t>
  </si>
  <si>
    <t>Pivot irrigation</t>
  </si>
  <si>
    <t>Traditional</t>
  </si>
  <si>
    <t>techniques</t>
  </si>
  <si>
    <t>Rainwater</t>
  </si>
  <si>
    <t>Water treatment</t>
  </si>
  <si>
    <t>Underground</t>
  </si>
  <si>
    <t>Lake / streams</t>
  </si>
  <si>
    <t>Water catchment</t>
  </si>
  <si>
    <t xml:space="preserve">National </t>
  </si>
  <si>
    <t>Crop name</t>
  </si>
  <si>
    <t>Estimate</t>
  </si>
  <si>
    <t>SE</t>
  </si>
  <si>
    <t>CV</t>
  </si>
  <si>
    <t>95% Confidence Interval</t>
  </si>
  <si>
    <t>DEFF</t>
  </si>
  <si>
    <t>No. observations (plots)</t>
  </si>
  <si>
    <t>Lower</t>
  </si>
  <si>
    <t>Upper</t>
  </si>
  <si>
    <t>Table 1: List of Rwanda Land cover classes</t>
  </si>
  <si>
    <t>No</t>
  </si>
  <si>
    <t>Agricultural land on hills</t>
  </si>
  <si>
    <t>Non-rice Agricultural Wetland</t>
  </si>
  <si>
    <t>Mixed rangeland</t>
  </si>
  <si>
    <t>Low density builtup area</t>
  </si>
  <si>
    <t>Paddy rice wetland</t>
  </si>
  <si>
    <t>Tea plantation</t>
  </si>
  <si>
    <t>Forest</t>
  </si>
  <si>
    <t>High density builtup area</t>
  </si>
  <si>
    <t>Protected wetland</t>
  </si>
  <si>
    <t>Exclusive rangeland</t>
  </si>
  <si>
    <t xml:space="preserve">Table 2: List of strata </t>
  </si>
  <si>
    <t xml:space="preserve">Stratum code </t>
  </si>
  <si>
    <t>Dominant Wetland crops</t>
  </si>
  <si>
    <t>Table 3: Number of segments (Population size) per district by stratum</t>
  </si>
  <si>
    <t xml:space="preserve">       District             Stratum </t>
  </si>
  <si>
    <t>Excluded statum</t>
  </si>
  <si>
    <t xml:space="preserve">Mixed stratum </t>
  </si>
  <si>
    <t xml:space="preserve">Cereals </t>
  </si>
  <si>
    <t>Groundnuts</t>
  </si>
  <si>
    <t>Vegetables and Fruits</t>
  </si>
  <si>
    <t>Total (A&amp;B)</t>
  </si>
  <si>
    <t>Total (Season A&amp;B)</t>
  </si>
  <si>
    <t xml:space="preserve">Table 4: Allocation of sampled segments per district by stratum </t>
  </si>
  <si>
    <t>Table 0: Summary of Seasonal Agricultural Survey main indicators</t>
  </si>
  <si>
    <t>SAS main indicators</t>
  </si>
  <si>
    <t>SAS 2024</t>
  </si>
  <si>
    <t>Season</t>
  </si>
  <si>
    <t>A</t>
  </si>
  <si>
    <t>B</t>
  </si>
  <si>
    <t>C</t>
  </si>
  <si>
    <t>Harvested area for major crops (Ha)</t>
  </si>
  <si>
    <r>
      <t>Cultivated area for major crops (Ha)</t>
    </r>
    <r>
      <rPr>
        <sz val="11"/>
        <color rgb="FF000000"/>
        <rFont val="Arial Narrow"/>
        <family val="2"/>
      </rPr>
      <t> </t>
    </r>
  </si>
  <si>
    <t>Production for major crops (MT) </t>
  </si>
  <si>
    <t>Yield for major crops (MT/ha)</t>
  </si>
  <si>
    <r>
      <t xml:space="preserve">Agricultural inputs: % of </t>
    </r>
    <r>
      <rPr>
        <b/>
        <sz val="12"/>
        <color theme="1"/>
        <rFont val="Arial Narrow"/>
        <family val="2"/>
      </rPr>
      <t>farmers who used</t>
    </r>
  </si>
  <si>
    <t xml:space="preserve">Improved seeds </t>
  </si>
  <si>
    <t xml:space="preserve">Organic fertilizer </t>
  </si>
  <si>
    <t xml:space="preserve">Inorganic fertilizers </t>
  </si>
  <si>
    <t xml:space="preserve">Pesticides </t>
  </si>
  <si>
    <t>Agricultural practices: % of farmers who practiced</t>
  </si>
  <si>
    <t>Irrigation</t>
  </si>
  <si>
    <t xml:space="preserve">Anti-erosion </t>
  </si>
  <si>
    <t>Agricultural area</t>
  </si>
  <si>
    <t>Total land area (,000Ha)</t>
  </si>
  <si>
    <t>Agriculture land (,000Ha)</t>
  </si>
  <si>
    <t>Percentage of agricultural area</t>
  </si>
  <si>
    <t>Area under permanent crops (,000Ha)</t>
  </si>
  <si>
    <t>Area under permanent pasture (,000Ha)</t>
  </si>
  <si>
    <t>Area under seasonal crops(,000Ha)</t>
  </si>
  <si>
    <t>Temporary fallow land(,000Ha)</t>
  </si>
  <si>
    <t>Temporarily meadow and pasture(,000Ha)</t>
  </si>
  <si>
    <r>
      <t xml:space="preserve">SAS </t>
    </r>
    <r>
      <rPr>
        <b/>
        <sz val="11"/>
        <color theme="1"/>
        <rFont val="Arial Narrow"/>
        <family val="2"/>
      </rPr>
      <t>2023</t>
    </r>
  </si>
  <si>
    <t>SAS 2025</t>
  </si>
  <si>
    <t>Taro &amp;Yams</t>
  </si>
  <si>
    <t>Source: NISR, SAS 2025</t>
  </si>
  <si>
    <t>Season A 2025_Average yield by crop type and district (Kg/Ha)</t>
  </si>
  <si>
    <t>Season B 2025_Average yield by crop type and district (Kg/Ha)</t>
  </si>
  <si>
    <t>Nyarugenege</t>
  </si>
  <si>
    <t>Table5:2025 Season A_ Sampling Errors for major crops at the national level</t>
  </si>
  <si>
    <t xml:space="preserve"> </t>
  </si>
  <si>
    <t>Table6:2025 Season B_ Sampling Errors for major crops at the national level</t>
  </si>
  <si>
    <t xml:space="preserve">Table 77: 2025 Season B_Percentage of plots by degree of erosion per district </t>
  </si>
  <si>
    <t xml:space="preserve">Table 76: 2025 Season A_Percentage of plots by degree of erosion per district </t>
  </si>
  <si>
    <t>Table 14: 2025 Season B_Cultivated area by crop type and district (Ha)</t>
  </si>
  <si>
    <t xml:space="preserve">Table 17: 2025 Season B_Harvested area by crop type and district (Ha)  </t>
  </si>
  <si>
    <t>Table 19:</t>
  </si>
  <si>
    <t>Table 20:</t>
  </si>
  <si>
    <r>
      <t>Table 21:</t>
    </r>
    <r>
      <rPr>
        <b/>
        <sz val="12"/>
        <color rgb="FF000000"/>
        <rFont val="Arial Narrow"/>
        <family val="2"/>
      </rPr>
      <t>Season C 2025_Average yield by crop type and district (Kg/Ha)</t>
    </r>
  </si>
  <si>
    <t>Table 28: 2025 Season B_The Use of production by farmers (in percentage)</t>
  </si>
  <si>
    <t>Table 33: 2025 Season A_Use of seeds by farmer type per district (Percentage)</t>
  </si>
  <si>
    <t>Table 34: 2025 Season B_Use of seeds by farmer type per district (Percentage)</t>
  </si>
  <si>
    <t>Table 35: 2025 Season C_Use of seeds by farmer type per district (Percentage)</t>
  </si>
  <si>
    <t xml:space="preserve">Table 37: 2025 Season A_Percentage of farmers by source of improved seeds per district </t>
  </si>
  <si>
    <t xml:space="preserve">Table 38: 2025 Season B_Percentage of farmers by source of improved seeds per district </t>
  </si>
  <si>
    <t>Table 40: 2025 Season A_Percentage of crops by source of seeds</t>
  </si>
  <si>
    <t>Table 41: 2025 Season B_Percentage of crops by source of seeds</t>
  </si>
  <si>
    <t>Table 42: 2025 Season C_Percentage of crops by source of seeds</t>
  </si>
  <si>
    <t>Table 43: 2025 Season A_Use of organic fertilizer by farmer type per district (Percentage)</t>
  </si>
  <si>
    <t>Table 44: 2025 Season B_Use of organic fertilizer by farmer type per district (Percentage)</t>
  </si>
  <si>
    <t>Table 46: 2025 Season A_Use of Inorganic fertilizer by farmer type per district (Percentage)</t>
  </si>
  <si>
    <t>Table 47: 2025 Season B_Use of Inorganic fertilizer by farmer type per district (Percentage)</t>
  </si>
  <si>
    <t>Table 48: 2025 Season C_Use of Inorganic fertilizer by farmer type per district (Percentage)</t>
  </si>
  <si>
    <t xml:space="preserve">Table 49: 2025 Season A_Percentage of farmers by source of inorganic fertilizers per district </t>
  </si>
  <si>
    <t xml:space="preserve">Table 52: 2025 Season A_Source of inorganic fertilizer by type of fertilizer </t>
  </si>
  <si>
    <t xml:space="preserve">Table 51: 2025 Season C_Percentage of farmers by source of inorganic fertilizers per district </t>
  </si>
  <si>
    <t xml:space="preserve">Table 54: 2025 Season C_Source of inorganic fertilizer by type of fertilizer </t>
  </si>
  <si>
    <t xml:space="preserve">Table 55: 2025 Season A_Percentage of plots by type of inorganic fertilizer per district </t>
  </si>
  <si>
    <t xml:space="preserve">Table 56: 2025 Season B_Percentage of plots by type of inorganic fertilizer per district </t>
  </si>
  <si>
    <t>Table 58: 2025 Season A_Use of pesticides by farmer type per district (Percentage)</t>
  </si>
  <si>
    <t>Table 59: 2025 Season B_Use of pesticides by farmer type per district (Percentage)</t>
  </si>
  <si>
    <t xml:space="preserve">Table 61: 2025 Season A_Percentage of plots by type of pesticides per district </t>
  </si>
  <si>
    <t>Table 63: 2025 Season C Percentage of plots by type of pesticides per district</t>
  </si>
  <si>
    <t>Table 64: 2025 Season A_Percentage of farmers who practiced agricultural practices</t>
  </si>
  <si>
    <t>Table 65: 2025 Season B_Percentage of farmers who practiced agricultural practices</t>
  </si>
  <si>
    <t>Table 66: 2025 Season C_Percentage of farmers who practiced agricultural practices</t>
  </si>
  <si>
    <t xml:space="preserve">Table 67: 2025 Season A_Percentage of plots by types of irrigation used </t>
  </si>
  <si>
    <t xml:space="preserve">Table 68: 2025 Season B_Percentage of plots by types of irrigation used </t>
  </si>
  <si>
    <t>Table 69:2025 Season C Percentage of plots by types of irrigation used</t>
  </si>
  <si>
    <t xml:space="preserve">Table 70: 2025 Season A_Percentage of plots by source of water used and district </t>
  </si>
  <si>
    <t xml:space="preserve">Table 71: 2025 Season B_Percentage of plots by source of water used and district </t>
  </si>
  <si>
    <t xml:space="preserve">Table 72: 2025 Season C_Percentage of plots by source of water used and district </t>
  </si>
  <si>
    <t xml:space="preserve">Table 74: 2025 Season B_Percentage of plots by type of anti-erosion activities and district </t>
  </si>
  <si>
    <t xml:space="preserve">Table 75:  2025 Season C_Percentage of plots by type of anti-erosion activities and district </t>
  </si>
  <si>
    <t xml:space="preserve">Table 78: 2025 Season C_Percentage of plots by degree of erosion per district </t>
  </si>
  <si>
    <t>Table7:2025 Season C_ Sampling Errors for major crops at the national level</t>
  </si>
  <si>
    <t>Table 60: 2025 Season C_Use of pesticides by farmer type per district (Percentage)</t>
  </si>
  <si>
    <t>Copyright © 2025 National Institute of Statistics of Rwanda (NISR). All rights reserved.</t>
  </si>
  <si>
    <t>P.O Box : 6139 Kigali, Rwanda</t>
  </si>
  <si>
    <t>Tel: +250 788 383103</t>
  </si>
  <si>
    <t>Hotline: 4321</t>
  </si>
  <si>
    <t>Email : info@statistics.gov.rw</t>
  </si>
  <si>
    <t>Recommended citation:</t>
  </si>
  <si>
    <t>National Institute of Statistics of Rwanda (NISR), Seasonal Agricultural Survey 2025 report, December 2025</t>
  </si>
  <si>
    <t>Seasonal Agricultural Survey</t>
  </si>
  <si>
    <t xml:space="preserve">Table 2:  List of strata </t>
  </si>
  <si>
    <t>Table 5: 2025 Season A_ Sampling Errors for major crops at the national level</t>
  </si>
  <si>
    <t>Table 6:2025 Season B_ Sampling Errors for major crops at the national level</t>
  </si>
  <si>
    <t>Table 7: 2025 Season C_ Sampling Errors for major crops at the national level</t>
  </si>
  <si>
    <t>Table 8: Main crops GVA in constant 2017 prices (Frw /ha)household members</t>
  </si>
  <si>
    <t>Table 10:2025 Season B_Agricultural land use per district (,000Ha)</t>
  </si>
  <si>
    <t>Table 9:  2025 Season A_Agricultural land use per district (,000Ha)</t>
  </si>
  <si>
    <t>Table 11: Season A 2025_Area under agricultural practices (in Ha)</t>
  </si>
  <si>
    <t>Table 12:  Season B 2025_Area under agricultural practices (in Ha)</t>
  </si>
  <si>
    <t>Table 13:  2025 Season A_Cultivated area by crop type and district (Ha)</t>
  </si>
  <si>
    <t>Table 15: 2025 Season C_Cultivated area by crop type and district (Ha)</t>
  </si>
  <si>
    <t xml:space="preserve">Table 16:   2025 Season A_Harvested area by crop type and district (Ha)  </t>
  </si>
  <si>
    <t xml:space="preserve">Table 18:2025 Season C_Harvested area by crop type and district (Ha)  </t>
  </si>
  <si>
    <t>Table 19: Season A 2025_Average yield by crop type and district (Kg/Ha)</t>
  </si>
  <si>
    <t>Table 20: Season B 2025_Average yield by crop type and district (Kg/Ha)</t>
  </si>
  <si>
    <t>Table 21:Season C 2025_Average yield by crop type and district (Kg/Ha)</t>
  </si>
  <si>
    <t>Table 22: Season A 2025_Average yield of large-scale farmers by crop type and district (Kg/Ha)</t>
  </si>
  <si>
    <t>Table 23: Season B 2025_Average yield of large-scale farmers by crop type and district (Kg/Ha)</t>
  </si>
  <si>
    <t>Table 24: Season A 2025_Crop production by crop type and district (MT)</t>
  </si>
  <si>
    <t>Table 25: Season B 2025_Crop production by crop type and district (MT)</t>
  </si>
  <si>
    <t>Table 26: Season C 2025_Crop production by crop type and district (MT)</t>
  </si>
  <si>
    <t>Table 27:  2025 Season A_The Use of production by farmers (in percentage)</t>
  </si>
  <si>
    <t>Table 30:  Sowing date per Season and District in 2025 (%)</t>
  </si>
  <si>
    <t>Table 31: Sowing dates per Season and crop type in 2025 (%)</t>
  </si>
  <si>
    <t>Table 32:Cultivated area by cropping system, per season and district (%) in 2025</t>
  </si>
  <si>
    <t>Table 36:  Seed use by crop type and season in 2025 (%)</t>
  </si>
  <si>
    <t>Table 39:  2025 Season C_Percentage of farmers by source of improved seeds per district</t>
  </si>
  <si>
    <t>Table 45:2025 Season C_Use of organic fertilizer by farmer type per district (Percentage)</t>
  </si>
  <si>
    <t xml:space="preserve">Table 50: 025 Season B_Percentage of farmers by source of inorganic fertilizers per district </t>
  </si>
  <si>
    <t xml:space="preserve">Table 53:2025 Season B_Source of inorganic fertilizer by type of fertilizer </t>
  </si>
  <si>
    <t>Table 57:  2025 Season C Percentage of plots by type of inorganic fertilizer per district</t>
  </si>
  <si>
    <t xml:space="preserve">Table 62:2025 Season B_Percentage of plots by type of pesticides per district </t>
  </si>
  <si>
    <t xml:space="preserve">Table 68:  2025 Season B_Percentage of plots by types of irrigation used </t>
  </si>
  <si>
    <t>Table 69: 2025 Season C Percentage of plots by types of irrigation used</t>
  </si>
  <si>
    <t xml:space="preserve">Table 73:  2025 Season A_Percentage of plots by type of anti-erosion activities and district </t>
  </si>
  <si>
    <t>Table 29: 2025 Season C_The Use of production by farmers (in percentage)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</si>
</sst>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.0_);_(* \(#,##0.0\);_(* &quot;-&quot;??_);_(@_)"/>
    <numFmt numFmtId="167" formatCode="_(* #,##0_);_(* \(#,##0\);_(* &quot;-&quot;??_);_(@_)"/>
    <numFmt numFmtId="168" formatCode="_-* #,##0.0_-;\-* #,##0.0_-;_-* &quot;-&quot;??_-;_-@_-"/>
    <numFmt numFmtId="169" formatCode="_-* #,##0_-;\-* #,##0_-;_-* &quot;-&quot;??_-;_-@_-"/>
    <numFmt numFmtId="170" formatCode="_-* #,##0.000_-;\-* #,##0.000_-;_-* &quot;-&quot;??_-;_-@_-"/>
    <numFmt numFmtId="171" formatCode="0.0"/>
    <numFmt numFmtId="173" formatCode="#,##0.0"/>
    <numFmt numFmtId="174" formatCode="0.000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Arial Narrow"/>
      <family val="2"/>
    </font>
    <font>
      <sz val="9"/>
      <color theme="1"/>
      <name val="Arial"/>
      <family val="2"/>
    </font>
    <font>
      <b/>
      <sz val="12"/>
      <name val="Arial Narrow"/>
      <family val="2"/>
    </font>
    <font>
      <sz val="11"/>
      <name val="Calibri"/>
      <family val="2"/>
      <scheme val="minor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b/>
      <i/>
      <sz val="11"/>
      <color rgb="FF000000"/>
      <name val="Arial Narrow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20"/>
      <color theme="0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65" fontId="12" fillId="0" borderId="0" applyFont="0" applyFill="0" applyBorder="0" applyAlignment="0" applyProtection="0"/>
    <xf numFmtId="0" fontId="22" fillId="0" borderId="0"/>
    <xf numFmtId="0" fontId="12" fillId="0" borderId="0"/>
  </cellStyleXfs>
  <cellXfs count="213">
    <xf numFmtId="0" fontId="0" fillId="0" borderId="0" xfId="0"/>
    <xf numFmtId="0" fontId="2" fillId="0" borderId="0" xfId="0" applyFont="1" applyAlignment="1">
      <alignment horizontal="right" vertical="center"/>
    </xf>
    <xf numFmtId="0" fontId="0" fillId="0" borderId="2" xfId="0" applyBorder="1"/>
    <xf numFmtId="0" fontId="3" fillId="0" borderId="2" xfId="0" applyFont="1" applyBorder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0" fillId="0" borderId="2" xfId="0" applyFont="1" applyBorder="1" applyAlignment="1">
      <alignment vertical="center"/>
    </xf>
    <xf numFmtId="0" fontId="5" fillId="0" borderId="6" xfId="0" applyFont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11" fillId="0" borderId="6" xfId="0" applyFont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3" fontId="0" fillId="0" borderId="0" xfId="0" applyNumberFormat="1"/>
    <xf numFmtId="0" fontId="1" fillId="0" borderId="0" xfId="0" applyFont="1"/>
    <xf numFmtId="0" fontId="1" fillId="0" borderId="2" xfId="0" applyFont="1" applyBorder="1"/>
    <xf numFmtId="0" fontId="7" fillId="0" borderId="13" xfId="0" applyFont="1" applyBorder="1"/>
    <xf numFmtId="164" fontId="3" fillId="0" borderId="0" xfId="2" applyFont="1"/>
    <xf numFmtId="171" fontId="3" fillId="0" borderId="0" xfId="0" applyNumberFormat="1" applyFont="1"/>
    <xf numFmtId="164" fontId="3" fillId="0" borderId="13" xfId="2" applyFont="1" applyBorder="1"/>
    <xf numFmtId="171" fontId="3" fillId="0" borderId="13" xfId="0" applyNumberFormat="1" applyFont="1" applyBorder="1"/>
    <xf numFmtId="164" fontId="0" fillId="0" borderId="0" xfId="0" applyNumberFormat="1"/>
    <xf numFmtId="0" fontId="7" fillId="0" borderId="2" xfId="0" applyFont="1" applyBorder="1"/>
    <xf numFmtId="0" fontId="13" fillId="0" borderId="2" xfId="0" applyFont="1" applyBorder="1"/>
    <xf numFmtId="0" fontId="3" fillId="0" borderId="13" xfId="0" applyFont="1" applyBorder="1"/>
    <xf numFmtId="0" fontId="3" fillId="0" borderId="0" xfId="0" applyFont="1" applyAlignment="1">
      <alignment wrapText="1"/>
    </xf>
    <xf numFmtId="0" fontId="3" fillId="0" borderId="13" xfId="0" applyFont="1" applyBorder="1" applyAlignment="1">
      <alignment wrapText="1"/>
    </xf>
    <xf numFmtId="0" fontId="1" fillId="0" borderId="13" xfId="0" applyFont="1" applyBorder="1"/>
    <xf numFmtId="0" fontId="0" fillId="0" borderId="13" xfId="0" applyBorder="1"/>
    <xf numFmtId="0" fontId="3" fillId="0" borderId="0" xfId="0" applyFont="1" applyAlignment="1">
      <alignment horizontal="left"/>
    </xf>
    <xf numFmtId="0" fontId="3" fillId="0" borderId="14" xfId="0" applyFont="1" applyBorder="1" applyAlignment="1">
      <alignment vertical="center"/>
    </xf>
    <xf numFmtId="0" fontId="3" fillId="0" borderId="14" xfId="0" applyFont="1" applyBorder="1"/>
    <xf numFmtId="167" fontId="3" fillId="0" borderId="0" xfId="4" applyNumberFormat="1" applyFont="1" applyFill="1"/>
    <xf numFmtId="0" fontId="1" fillId="0" borderId="1" xfId="0" applyFont="1" applyBorder="1"/>
    <xf numFmtId="0" fontId="2" fillId="0" borderId="1" xfId="0" applyFont="1" applyBorder="1"/>
    <xf numFmtId="0" fontId="6" fillId="0" borderId="16" xfId="0" applyFont="1" applyBorder="1" applyAlignment="1">
      <alignment horizontal="left" vertical="center"/>
    </xf>
    <xf numFmtId="0" fontId="14" fillId="0" borderId="16" xfId="0" applyFont="1" applyBorder="1" applyAlignment="1">
      <alignment textRotation="90"/>
    </xf>
    <xf numFmtId="0" fontId="2" fillId="0" borderId="16" xfId="0" applyFont="1" applyBorder="1" applyAlignment="1">
      <alignment textRotation="90"/>
    </xf>
    <xf numFmtId="0" fontId="5" fillId="0" borderId="0" xfId="0" applyFont="1" applyAlignment="1">
      <alignment horizontal="left" vertical="center"/>
    </xf>
    <xf numFmtId="167" fontId="15" fillId="0" borderId="0" xfId="0" applyNumberFormat="1" applyFont="1"/>
    <xf numFmtId="167" fontId="3" fillId="0" borderId="0" xfId="0" applyNumberFormat="1" applyFont="1"/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64" fontId="8" fillId="0" borderId="3" xfId="2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164" fontId="8" fillId="0" borderId="17" xfId="2" applyFont="1" applyBorder="1" applyAlignment="1">
      <alignment horizontal="left" vertical="center"/>
    </xf>
    <xf numFmtId="164" fontId="8" fillId="0" borderId="2" xfId="2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13" xfId="0" applyFont="1" applyBorder="1" applyAlignment="1">
      <alignment vertical="center"/>
    </xf>
    <xf numFmtId="166" fontId="3" fillId="0" borderId="0" xfId="4" applyNumberFormat="1" applyFont="1"/>
    <xf numFmtId="0" fontId="16" fillId="0" borderId="13" xfId="0" applyFont="1" applyBorder="1"/>
    <xf numFmtId="166" fontId="3" fillId="0" borderId="2" xfId="4" applyNumberFormat="1" applyFont="1" applyFill="1" applyBorder="1"/>
    <xf numFmtId="166" fontId="3" fillId="0" borderId="0" xfId="4" applyNumberFormat="1" applyFont="1" applyFill="1"/>
    <xf numFmtId="166" fontId="7" fillId="0" borderId="2" xfId="4" applyNumberFormat="1" applyFont="1" applyFill="1" applyBorder="1"/>
    <xf numFmtId="0" fontId="6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 wrapText="1"/>
    </xf>
    <xf numFmtId="43" fontId="3" fillId="0" borderId="2" xfId="4" applyFont="1" applyFill="1" applyBorder="1" applyAlignment="1">
      <alignment wrapText="1"/>
    </xf>
    <xf numFmtId="43" fontId="3" fillId="0" borderId="0" xfId="4" applyFont="1" applyFill="1"/>
    <xf numFmtId="43" fontId="3" fillId="0" borderId="2" xfId="4" applyFont="1" applyFill="1" applyBorder="1"/>
    <xf numFmtId="43" fontId="7" fillId="0" borderId="2" xfId="4" applyFont="1" applyFill="1" applyBorder="1"/>
    <xf numFmtId="49" fontId="5" fillId="0" borderId="0" xfId="0" applyNumberFormat="1" applyFont="1" applyAlignment="1">
      <alignment horizontal="left" vertical="center"/>
    </xf>
    <xf numFmtId="168" fontId="16" fillId="0" borderId="13" xfId="6" applyNumberFormat="1" applyFont="1" applyFill="1" applyBorder="1"/>
    <xf numFmtId="43" fontId="3" fillId="0" borderId="0" xfId="4" applyFont="1" applyFill="1" applyBorder="1"/>
    <xf numFmtId="166" fontId="3" fillId="0" borderId="0" xfId="4" applyNumberFormat="1" applyFont="1" applyFill="1" applyBorder="1"/>
    <xf numFmtId="169" fontId="5" fillId="0" borderId="0" xfId="6" applyNumberFormat="1" applyFont="1" applyFill="1" applyBorder="1" applyAlignment="1">
      <alignment horizontal="right" vertical="center"/>
    </xf>
    <xf numFmtId="170" fontId="5" fillId="0" borderId="0" xfId="6" applyNumberFormat="1" applyFont="1" applyFill="1" applyBorder="1" applyAlignment="1">
      <alignment horizontal="right" vertical="center"/>
    </xf>
    <xf numFmtId="167" fontId="3" fillId="0" borderId="0" xfId="4" applyNumberFormat="1" applyFont="1" applyBorder="1"/>
    <xf numFmtId="167" fontId="3" fillId="0" borderId="14" xfId="4" applyNumberFormat="1" applyFont="1" applyBorder="1"/>
    <xf numFmtId="0" fontId="7" fillId="0" borderId="0" xfId="0" applyFont="1"/>
    <xf numFmtId="164" fontId="18" fillId="0" borderId="13" xfId="2" applyFont="1" applyFill="1" applyBorder="1"/>
    <xf numFmtId="164" fontId="18" fillId="0" borderId="13" xfId="2" applyFont="1" applyFill="1" applyBorder="1" applyAlignment="1">
      <alignment horizontal="right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15" xfId="0" applyFont="1" applyBorder="1" applyAlignment="1">
      <alignment horizontal="right" vertical="center"/>
    </xf>
    <xf numFmtId="0" fontId="10" fillId="0" borderId="1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 wrapText="1"/>
    </xf>
    <xf numFmtId="169" fontId="5" fillId="0" borderId="1" xfId="1" applyNumberFormat="1" applyFont="1" applyBorder="1" applyAlignment="1">
      <alignment vertical="center"/>
    </xf>
    <xf numFmtId="171" fontId="2" fillId="0" borderId="0" xfId="0" applyNumberFormat="1" applyFont="1" applyAlignment="1">
      <alignment horizontal="right" vertical="center"/>
    </xf>
    <xf numFmtId="171" fontId="3" fillId="0" borderId="9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vertical="center" wrapText="1"/>
    </xf>
    <xf numFmtId="0" fontId="3" fillId="0" borderId="19" xfId="0" applyFont="1" applyBorder="1"/>
    <xf numFmtId="0" fontId="3" fillId="0" borderId="16" xfId="0" applyFont="1" applyBorder="1"/>
    <xf numFmtId="0" fontId="3" fillId="0" borderId="20" xfId="0" applyFont="1" applyBorder="1"/>
    <xf numFmtId="167" fontId="3" fillId="0" borderId="11" xfId="4" applyNumberFormat="1" applyFont="1" applyBorder="1"/>
    <xf numFmtId="167" fontId="3" fillId="0" borderId="9" xfId="4" applyNumberFormat="1" applyFont="1" applyBorder="1"/>
    <xf numFmtId="167" fontId="3" fillId="0" borderId="21" xfId="4" applyNumberFormat="1" applyFont="1" applyBorder="1"/>
    <xf numFmtId="167" fontId="3" fillId="0" borderId="18" xfId="4" applyNumberFormat="1" applyFont="1" applyBorder="1"/>
    <xf numFmtId="167" fontId="3" fillId="0" borderId="22" xfId="4" applyNumberFormat="1" applyFont="1" applyBorder="1"/>
    <xf numFmtId="0" fontId="3" fillId="0" borderId="19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20" xfId="0" applyFont="1" applyBorder="1" applyAlignment="1">
      <alignment wrapText="1"/>
    </xf>
    <xf numFmtId="164" fontId="17" fillId="0" borderId="11" xfId="2" applyFont="1" applyFill="1" applyBorder="1"/>
    <xf numFmtId="164" fontId="17" fillId="0" borderId="0" xfId="2" applyFont="1" applyFill="1" applyBorder="1"/>
    <xf numFmtId="164" fontId="18" fillId="0" borderId="0" xfId="2" applyFont="1" applyFill="1" applyBorder="1" applyAlignment="1">
      <alignment horizontal="right"/>
    </xf>
    <xf numFmtId="164" fontId="18" fillId="0" borderId="0" xfId="2" applyFont="1" applyFill="1" applyBorder="1"/>
    <xf numFmtId="164" fontId="18" fillId="0" borderId="9" xfId="2" applyFont="1" applyFill="1" applyBorder="1"/>
    <xf numFmtId="164" fontId="18" fillId="0" borderId="11" xfId="2" applyFont="1" applyFill="1" applyBorder="1"/>
    <xf numFmtId="164" fontId="18" fillId="0" borderId="23" xfId="2" applyFont="1" applyFill="1" applyBorder="1"/>
    <xf numFmtId="164" fontId="18" fillId="0" borderId="24" xfId="2" applyFont="1" applyFill="1" applyBorder="1"/>
    <xf numFmtId="164" fontId="18" fillId="0" borderId="10" xfId="2" applyFont="1" applyFill="1" applyBorder="1"/>
    <xf numFmtId="164" fontId="18" fillId="0" borderId="1" xfId="2" applyFont="1" applyFill="1" applyBorder="1"/>
    <xf numFmtId="164" fontId="18" fillId="0" borderId="8" xfId="2" applyFont="1" applyFill="1" applyBorder="1"/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26" xfId="0" applyFont="1" applyBorder="1" applyAlignment="1">
      <alignment horizontal="justify" vertical="center"/>
    </xf>
    <xf numFmtId="0" fontId="3" fillId="0" borderId="9" xfId="0" applyFont="1" applyBorder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3" fontId="3" fillId="0" borderId="9" xfId="0" applyNumberFormat="1" applyFont="1" applyBorder="1" applyAlignment="1">
      <alignment horizontal="right" vertical="center"/>
    </xf>
    <xf numFmtId="0" fontId="10" fillId="0" borderId="26" xfId="0" applyFont="1" applyBorder="1" applyAlignment="1">
      <alignment horizontal="justify" vertical="center"/>
    </xf>
    <xf numFmtId="0" fontId="8" fillId="0" borderId="25" xfId="0" applyFont="1" applyBorder="1" applyAlignment="1">
      <alignment horizontal="justify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10" xfId="0" applyFont="1" applyBorder="1" applyAlignment="1">
      <alignment vertical="center"/>
    </xf>
    <xf numFmtId="0" fontId="2" fillId="0" borderId="8" xfId="0" applyFont="1" applyBorder="1" applyAlignment="1">
      <alignment horizontal="right" vertical="center"/>
    </xf>
    <xf numFmtId="0" fontId="3" fillId="0" borderId="29" xfId="0" applyFont="1" applyBorder="1"/>
    <xf numFmtId="173" fontId="8" fillId="0" borderId="0" xfId="0" applyNumberFormat="1" applyFont="1" applyAlignment="1">
      <alignment horizontal="right" vertical="center"/>
    </xf>
    <xf numFmtId="174" fontId="0" fillId="0" borderId="0" xfId="0" applyNumberFormat="1"/>
    <xf numFmtId="0" fontId="8" fillId="0" borderId="5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8" xfId="0" applyNumberFormat="1" applyFont="1" applyBorder="1" applyAlignment="1">
      <alignment horizontal="right" vertical="center"/>
    </xf>
    <xf numFmtId="164" fontId="8" fillId="0" borderId="3" xfId="2" applyFont="1" applyFill="1" applyBorder="1" applyAlignment="1">
      <alignment horizontal="left" vertical="center"/>
    </xf>
    <xf numFmtId="9" fontId="0" fillId="0" borderId="0" xfId="3" applyFont="1"/>
    <xf numFmtId="9" fontId="12" fillId="0" borderId="0" xfId="3" applyFont="1" applyFill="1"/>
    <xf numFmtId="169" fontId="0" fillId="0" borderId="0" xfId="0" applyNumberFormat="1"/>
    <xf numFmtId="0" fontId="8" fillId="0" borderId="9" xfId="0" applyFont="1" applyBorder="1" applyAlignment="1">
      <alignment horizontal="right" vertical="center"/>
    </xf>
    <xf numFmtId="3" fontId="8" fillId="0" borderId="9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3" fontId="8" fillId="0" borderId="24" xfId="0" applyNumberFormat="1" applyFont="1" applyBorder="1" applyAlignment="1">
      <alignment horizontal="right" vertical="center"/>
    </xf>
    <xf numFmtId="0" fontId="3" fillId="0" borderId="30" xfId="0" applyFont="1" applyBorder="1" applyAlignment="1">
      <alignment wrapText="1"/>
    </xf>
    <xf numFmtId="164" fontId="18" fillId="0" borderId="31" xfId="2" applyFont="1" applyFill="1" applyBorder="1"/>
    <xf numFmtId="164" fontId="18" fillId="0" borderId="32" xfId="2" applyFont="1" applyFill="1" applyBorder="1"/>
    <xf numFmtId="171" fontId="2" fillId="0" borderId="9" xfId="0" applyNumberFormat="1" applyFont="1" applyBorder="1" applyAlignment="1">
      <alignment horizontal="right" vertical="center"/>
    </xf>
    <xf numFmtId="0" fontId="5" fillId="0" borderId="11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171" fontId="5" fillId="0" borderId="0" xfId="0" applyNumberFormat="1" applyFont="1" applyAlignment="1">
      <alignment horizontal="right" vertical="center"/>
    </xf>
    <xf numFmtId="171" fontId="5" fillId="0" borderId="9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171" fontId="5" fillId="0" borderId="1" xfId="0" applyNumberFormat="1" applyFont="1" applyBorder="1" applyAlignment="1">
      <alignment horizontal="right" vertical="center"/>
    </xf>
    <xf numFmtId="171" fontId="5" fillId="0" borderId="8" xfId="0" applyNumberFormat="1" applyFont="1" applyBorder="1" applyAlignment="1">
      <alignment horizontal="right" vertical="center"/>
    </xf>
    <xf numFmtId="3" fontId="21" fillId="0" borderId="0" xfId="0" applyNumberFormat="1" applyFont="1"/>
    <xf numFmtId="167" fontId="3" fillId="0" borderId="14" xfId="4" applyNumberFormat="1" applyFont="1" applyFill="1" applyBorder="1"/>
    <xf numFmtId="0" fontId="22" fillId="0" borderId="0" xfId="7"/>
    <xf numFmtId="0" fontId="12" fillId="0" borderId="0" xfId="8" applyAlignment="1">
      <alignment horizontal="center"/>
    </xf>
    <xf numFmtId="0" fontId="19" fillId="0" borderId="0" xfId="5"/>
    <xf numFmtId="0" fontId="0" fillId="0" borderId="0" xfId="7" applyFont="1"/>
    <xf numFmtId="0" fontId="23" fillId="2" borderId="0" xfId="8" applyFont="1" applyFill="1" applyAlignment="1">
      <alignment horizontal="center"/>
    </xf>
    <xf numFmtId="0" fontId="24" fillId="0" borderId="0" xfId="8" applyFont="1" applyAlignment="1">
      <alignment horizontal="center"/>
    </xf>
    <xf numFmtId="0" fontId="10" fillId="0" borderId="28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28" xfId="0" applyFont="1" applyBorder="1" applyAlignment="1">
      <alignment horizontal="justify" vertical="center"/>
    </xf>
    <xf numFmtId="0" fontId="6" fillId="0" borderId="5" xfId="0" applyFont="1" applyBorder="1" applyAlignment="1">
      <alignment horizontal="justify" vertical="center"/>
    </xf>
    <xf numFmtId="0" fontId="6" fillId="0" borderId="12" xfId="0" applyFont="1" applyBorder="1" applyAlignment="1">
      <alignment horizontal="justify" vertical="center"/>
    </xf>
    <xf numFmtId="0" fontId="6" fillId="0" borderId="28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0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6" fillId="0" borderId="8" xfId="0" applyFont="1" applyBorder="1" applyAlignment="1">
      <alignment horizontal="justify" vertical="center"/>
    </xf>
    <xf numFmtId="0" fontId="20" fillId="0" borderId="28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43" fontId="3" fillId="0" borderId="0" xfId="4" applyFont="1" applyFill="1" applyBorder="1" applyAlignment="1">
      <alignment horizontal="center"/>
    </xf>
    <xf numFmtId="43" fontId="3" fillId="0" borderId="2" xfId="4" applyFont="1" applyFill="1" applyBorder="1" applyAlignment="1">
      <alignment horizontal="center"/>
    </xf>
    <xf numFmtId="43" fontId="3" fillId="0" borderId="13" xfId="4" applyFont="1" applyFill="1" applyBorder="1" applyAlignment="1">
      <alignment horizontal="center" vertical="center"/>
    </xf>
    <xf numFmtId="43" fontId="3" fillId="0" borderId="14" xfId="4" applyFont="1" applyFill="1" applyBorder="1" applyAlignment="1">
      <alignment horizontal="center" vertical="center" wrapText="1"/>
    </xf>
    <xf numFmtId="43" fontId="3" fillId="0" borderId="2" xfId="4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</cellXfs>
  <cellStyles count="9">
    <cellStyle name="Comma" xfId="1" builtinId="3"/>
    <cellStyle name="Comma [0]" xfId="2" builtinId="6"/>
    <cellStyle name="Comma 2" xfId="6" xr:uid="{00000000-0005-0000-0000-000002000000}"/>
    <cellStyle name="Comma 2 2" xfId="4" xr:uid="{00000000-0005-0000-0000-000003000000}"/>
    <cellStyle name="Hyperlink" xfId="5" builtinId="8"/>
    <cellStyle name="Normal" xfId="0" builtinId="0"/>
    <cellStyle name="Normal 2" xfId="7" xr:uid="{00000000-0005-0000-0000-000006000000}"/>
    <cellStyle name="Normal 2 2" xfId="8" xr:uid="{00000000-0005-0000-0000-000007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93"/>
  <sheetViews>
    <sheetView showGridLines="0" topLeftCell="B25" zoomScaleNormal="100" zoomScaleSheetLayoutView="100" workbookViewId="0">
      <selection activeCell="B37" sqref="B37"/>
    </sheetView>
  </sheetViews>
  <sheetFormatPr defaultColWidth="0" defaultRowHeight="0" customHeight="1" zeroHeight="1" x14ac:dyDescent="0.35"/>
  <cols>
    <col min="1" max="1" width="4.1796875" style="167" hidden="1" customWidth="1"/>
    <col min="2" max="2" width="6.81640625" style="167" customWidth="1"/>
    <col min="3" max="3" width="12.54296875" style="167" customWidth="1"/>
    <col min="4" max="5" width="8.7265625" style="167" customWidth="1"/>
    <col min="6" max="6" width="12.26953125" style="167" customWidth="1"/>
    <col min="7" max="7" width="8.7265625" style="167" customWidth="1"/>
    <col min="8" max="8" width="12.453125" style="167" customWidth="1"/>
    <col min="9" max="9" width="11.26953125" style="167" customWidth="1"/>
    <col min="10" max="10" width="8.7265625" style="167" customWidth="1"/>
    <col min="11" max="11" width="47.36328125" style="167" customWidth="1"/>
    <col min="12" max="12" width="0" style="167" hidden="1" customWidth="1"/>
    <col min="13" max="16382" width="8.7265625" style="167" hidden="1"/>
    <col min="16383" max="16383" width="4.453125" style="167" hidden="1" customWidth="1"/>
    <col min="16384" max="16384" width="16.6328125" style="167" hidden="1" customWidth="1"/>
  </cols>
  <sheetData>
    <row r="1" spans="2:11" ht="14.5" x14ac:dyDescent="0.35"/>
    <row r="2" spans="2:11" ht="26" x14ac:dyDescent="0.6">
      <c r="B2" s="171" t="s">
        <v>231</v>
      </c>
      <c r="C2" s="171"/>
      <c r="D2" s="171"/>
      <c r="E2" s="171"/>
      <c r="F2" s="171"/>
      <c r="G2" s="171"/>
      <c r="H2" s="171"/>
      <c r="I2" s="171"/>
      <c r="J2" s="171"/>
      <c r="K2" s="171"/>
    </row>
    <row r="3" spans="2:11" ht="21" customHeight="1" x14ac:dyDescent="0.45">
      <c r="B3" s="172" t="s">
        <v>170</v>
      </c>
      <c r="C3" s="172"/>
      <c r="D3" s="172"/>
      <c r="E3" s="172"/>
      <c r="F3" s="172"/>
      <c r="G3" s="172"/>
      <c r="H3" s="172"/>
      <c r="I3" s="172"/>
      <c r="J3" s="172"/>
      <c r="K3" s="172"/>
    </row>
    <row r="4" spans="2:11" ht="14.5" x14ac:dyDescent="0.35">
      <c r="C4" s="168"/>
      <c r="D4" s="168"/>
      <c r="E4" s="168"/>
      <c r="F4" s="168"/>
      <c r="G4" s="168"/>
      <c r="H4" s="168"/>
      <c r="I4" s="168"/>
      <c r="J4" s="168"/>
      <c r="K4" s="168"/>
    </row>
    <row r="5" spans="2:11" ht="14.5" x14ac:dyDescent="0.35">
      <c r="C5" s="169" t="s">
        <v>141</v>
      </c>
    </row>
    <row r="6" spans="2:11" ht="14.5" x14ac:dyDescent="0.35">
      <c r="C6" s="169" t="s">
        <v>116</v>
      </c>
    </row>
    <row r="7" spans="2:11" ht="14.5" x14ac:dyDescent="0.35">
      <c r="C7" s="169" t="s">
        <v>232</v>
      </c>
    </row>
    <row r="8" spans="2:11" ht="14.5" x14ac:dyDescent="0.35">
      <c r="C8" s="169" t="s">
        <v>131</v>
      </c>
    </row>
    <row r="9" spans="2:11" ht="14.5" x14ac:dyDescent="0.35">
      <c r="C9" s="169" t="s">
        <v>140</v>
      </c>
    </row>
    <row r="10" spans="2:11" ht="14.5" x14ac:dyDescent="0.35">
      <c r="C10" s="169" t="s">
        <v>233</v>
      </c>
    </row>
    <row r="11" spans="2:11" ht="14.5" x14ac:dyDescent="0.35">
      <c r="C11" s="169" t="s">
        <v>234</v>
      </c>
    </row>
    <row r="12" spans="2:11" ht="14.5" x14ac:dyDescent="0.35">
      <c r="C12" s="169" t="s">
        <v>235</v>
      </c>
    </row>
    <row r="13" spans="2:11" ht="14.5" x14ac:dyDescent="0.35">
      <c r="C13" s="169" t="s">
        <v>236</v>
      </c>
    </row>
    <row r="14" spans="2:11" ht="14.5" x14ac:dyDescent="0.35">
      <c r="C14" s="169" t="s">
        <v>238</v>
      </c>
    </row>
    <row r="15" spans="2:11" ht="14.5" x14ac:dyDescent="0.35">
      <c r="C15" s="169" t="s">
        <v>237</v>
      </c>
    </row>
    <row r="16" spans="2:11" ht="14.5" x14ac:dyDescent="0.35">
      <c r="C16" s="169" t="s">
        <v>239</v>
      </c>
    </row>
    <row r="17" spans="3:3" ht="14.5" x14ac:dyDescent="0.35">
      <c r="C17" s="169" t="s">
        <v>240</v>
      </c>
    </row>
    <row r="18" spans="3:3" ht="14.5" x14ac:dyDescent="0.35">
      <c r="C18" s="169" t="s">
        <v>241</v>
      </c>
    </row>
    <row r="19" spans="3:3" ht="14.5" x14ac:dyDescent="0.35">
      <c r="C19" s="169" t="s">
        <v>181</v>
      </c>
    </row>
    <row r="20" spans="3:3" ht="14.5" x14ac:dyDescent="0.35">
      <c r="C20" s="169" t="s">
        <v>242</v>
      </c>
    </row>
    <row r="21" spans="3:3" ht="14.5" x14ac:dyDescent="0.35">
      <c r="C21" s="169" t="s">
        <v>243</v>
      </c>
    </row>
    <row r="22" spans="3:3" ht="14.5" x14ac:dyDescent="0.35">
      <c r="C22" s="169" t="s">
        <v>182</v>
      </c>
    </row>
    <row r="23" spans="3:3" ht="14.5" x14ac:dyDescent="0.35">
      <c r="C23" s="169" t="s">
        <v>244</v>
      </c>
    </row>
    <row r="24" spans="3:3" ht="14.5" x14ac:dyDescent="0.35">
      <c r="C24" s="169" t="s">
        <v>245</v>
      </c>
    </row>
    <row r="25" spans="3:3" ht="14.5" x14ac:dyDescent="0.35">
      <c r="C25" s="169" t="s">
        <v>246</v>
      </c>
    </row>
    <row r="26" spans="3:3" ht="14.5" x14ac:dyDescent="0.35">
      <c r="C26" s="169" t="s">
        <v>247</v>
      </c>
    </row>
    <row r="27" spans="3:3" ht="14.5" x14ac:dyDescent="0.35">
      <c r="C27" s="169" t="s">
        <v>248</v>
      </c>
    </row>
    <row r="28" spans="3:3" ht="14.5" x14ac:dyDescent="0.35">
      <c r="C28" s="169" t="s">
        <v>249</v>
      </c>
    </row>
    <row r="29" spans="3:3" ht="14.5" x14ac:dyDescent="0.35">
      <c r="C29" s="169" t="s">
        <v>250</v>
      </c>
    </row>
    <row r="30" spans="3:3" ht="14.5" x14ac:dyDescent="0.35">
      <c r="C30" s="169" t="s">
        <v>251</v>
      </c>
    </row>
    <row r="31" spans="3:3" ht="14.5" x14ac:dyDescent="0.35">
      <c r="C31" s="169" t="s">
        <v>252</v>
      </c>
    </row>
    <row r="32" spans="3:3" ht="14.5" x14ac:dyDescent="0.35">
      <c r="C32" s="169" t="s">
        <v>253</v>
      </c>
    </row>
    <row r="33" spans="3:3" ht="14.5" x14ac:dyDescent="0.35">
      <c r="C33" s="169" t="s">
        <v>186</v>
      </c>
    </row>
    <row r="34" spans="3:3" ht="14.5" x14ac:dyDescent="0.35">
      <c r="C34" s="169" t="s">
        <v>267</v>
      </c>
    </row>
    <row r="35" spans="3:3" ht="14.5" x14ac:dyDescent="0.35">
      <c r="C35" s="169" t="s">
        <v>254</v>
      </c>
    </row>
    <row r="36" spans="3:3" ht="14.5" x14ac:dyDescent="0.35">
      <c r="C36" s="169" t="s">
        <v>255</v>
      </c>
    </row>
    <row r="37" spans="3:3" ht="14.5" x14ac:dyDescent="0.35">
      <c r="C37" s="169" t="s">
        <v>256</v>
      </c>
    </row>
    <row r="38" spans="3:3" ht="14.5" x14ac:dyDescent="0.35">
      <c r="C38" s="169" t="s">
        <v>187</v>
      </c>
    </row>
    <row r="39" spans="3:3" ht="14.5" x14ac:dyDescent="0.35">
      <c r="C39" s="169" t="s">
        <v>188</v>
      </c>
    </row>
    <row r="40" spans="3:3" ht="14.5" x14ac:dyDescent="0.35">
      <c r="C40" s="169" t="s">
        <v>189</v>
      </c>
    </row>
    <row r="41" spans="3:3" ht="14.5" x14ac:dyDescent="0.35">
      <c r="C41" s="169" t="s">
        <v>257</v>
      </c>
    </row>
    <row r="42" spans="3:3" ht="14.5" x14ac:dyDescent="0.35">
      <c r="C42" s="169" t="s">
        <v>190</v>
      </c>
    </row>
    <row r="43" spans="3:3" ht="14.5" x14ac:dyDescent="0.35">
      <c r="C43" s="169" t="s">
        <v>191</v>
      </c>
    </row>
    <row r="44" spans="3:3" ht="14.5" x14ac:dyDescent="0.35">
      <c r="C44" s="169" t="s">
        <v>258</v>
      </c>
    </row>
    <row r="45" spans="3:3" ht="14.5" x14ac:dyDescent="0.35">
      <c r="C45" s="169" t="s">
        <v>192</v>
      </c>
    </row>
    <row r="46" spans="3:3" ht="14.5" x14ac:dyDescent="0.35">
      <c r="C46" s="169" t="s">
        <v>193</v>
      </c>
    </row>
    <row r="47" spans="3:3" ht="14.5" x14ac:dyDescent="0.35">
      <c r="C47" s="169" t="s">
        <v>194</v>
      </c>
    </row>
    <row r="48" spans="3:3" ht="14.5" x14ac:dyDescent="0.35">
      <c r="C48" s="169" t="s">
        <v>195</v>
      </c>
    </row>
    <row r="49" spans="3:3" ht="14.5" x14ac:dyDescent="0.35">
      <c r="C49" s="169" t="s">
        <v>196</v>
      </c>
    </row>
    <row r="50" spans="3:3" ht="14.5" x14ac:dyDescent="0.35">
      <c r="C50" s="169" t="s">
        <v>259</v>
      </c>
    </row>
    <row r="51" spans="3:3" ht="14.5" x14ac:dyDescent="0.35">
      <c r="C51" s="169" t="s">
        <v>197</v>
      </c>
    </row>
    <row r="52" spans="3:3" ht="14.5" x14ac:dyDescent="0.35">
      <c r="C52" s="169" t="s">
        <v>198</v>
      </c>
    </row>
    <row r="53" spans="3:3" ht="14.5" x14ac:dyDescent="0.35">
      <c r="C53" s="169" t="s">
        <v>199</v>
      </c>
    </row>
    <row r="54" spans="3:3" ht="14.5" x14ac:dyDescent="0.35">
      <c r="C54" s="169" t="s">
        <v>200</v>
      </c>
    </row>
    <row r="55" spans="3:3" ht="14.5" x14ac:dyDescent="0.35">
      <c r="C55" s="169" t="s">
        <v>260</v>
      </c>
    </row>
    <row r="56" spans="3:3" ht="14.5" x14ac:dyDescent="0.35">
      <c r="C56" s="169" t="s">
        <v>202</v>
      </c>
    </row>
    <row r="57" spans="3:3" ht="14.5" x14ac:dyDescent="0.35">
      <c r="C57" s="169" t="s">
        <v>201</v>
      </c>
    </row>
    <row r="58" spans="3:3" ht="14.5" x14ac:dyDescent="0.35">
      <c r="C58" s="169" t="s">
        <v>261</v>
      </c>
    </row>
    <row r="59" spans="3:3" ht="14.5" x14ac:dyDescent="0.35">
      <c r="C59" s="169" t="s">
        <v>203</v>
      </c>
    </row>
    <row r="60" spans="3:3" ht="14.5" x14ac:dyDescent="0.35">
      <c r="C60" s="169" t="s">
        <v>204</v>
      </c>
    </row>
    <row r="61" spans="3:3" ht="14.5" x14ac:dyDescent="0.35">
      <c r="C61" s="169" t="s">
        <v>205</v>
      </c>
    </row>
    <row r="62" spans="3:3" ht="14.5" x14ac:dyDescent="0.35">
      <c r="C62" s="169" t="s">
        <v>262</v>
      </c>
    </row>
    <row r="63" spans="3:3" ht="14.5" x14ac:dyDescent="0.35">
      <c r="C63" s="169" t="s">
        <v>206</v>
      </c>
    </row>
    <row r="64" spans="3:3" ht="14.5" x14ac:dyDescent="0.35">
      <c r="C64" s="169" t="s">
        <v>207</v>
      </c>
    </row>
    <row r="65" spans="3:3" ht="14.5" x14ac:dyDescent="0.35">
      <c r="C65" s="169" t="s">
        <v>223</v>
      </c>
    </row>
    <row r="66" spans="3:3" ht="14.5" x14ac:dyDescent="0.35">
      <c r="C66" s="169" t="s">
        <v>208</v>
      </c>
    </row>
    <row r="67" spans="3:3" ht="14.5" x14ac:dyDescent="0.35">
      <c r="C67" s="169" t="s">
        <v>263</v>
      </c>
    </row>
    <row r="68" spans="3:3" ht="14.5" x14ac:dyDescent="0.35">
      <c r="C68" s="169" t="s">
        <v>209</v>
      </c>
    </row>
    <row r="69" spans="3:3" ht="14.5" x14ac:dyDescent="0.35">
      <c r="C69" s="169" t="s">
        <v>210</v>
      </c>
    </row>
    <row r="70" spans="3:3" ht="14.5" x14ac:dyDescent="0.35">
      <c r="C70" s="169" t="s">
        <v>211</v>
      </c>
    </row>
    <row r="71" spans="3:3" ht="14.5" x14ac:dyDescent="0.35">
      <c r="C71" s="169" t="s">
        <v>212</v>
      </c>
    </row>
    <row r="72" spans="3:3" ht="14.5" x14ac:dyDescent="0.35">
      <c r="C72" s="169" t="s">
        <v>213</v>
      </c>
    </row>
    <row r="73" spans="3:3" ht="14.5" x14ac:dyDescent="0.35">
      <c r="C73" s="169" t="s">
        <v>264</v>
      </c>
    </row>
    <row r="74" spans="3:3" ht="14.5" x14ac:dyDescent="0.35">
      <c r="C74" s="169" t="s">
        <v>265</v>
      </c>
    </row>
    <row r="75" spans="3:3" ht="14.5" x14ac:dyDescent="0.35">
      <c r="C75" s="169" t="s">
        <v>216</v>
      </c>
    </row>
    <row r="76" spans="3:3" ht="14.5" x14ac:dyDescent="0.35">
      <c r="C76" s="169" t="s">
        <v>217</v>
      </c>
    </row>
    <row r="77" spans="3:3" ht="14.5" x14ac:dyDescent="0.35">
      <c r="C77" s="169" t="s">
        <v>218</v>
      </c>
    </row>
    <row r="78" spans="3:3" ht="14.5" x14ac:dyDescent="0.35">
      <c r="C78" s="169" t="s">
        <v>266</v>
      </c>
    </row>
    <row r="79" spans="3:3" ht="14.5" x14ac:dyDescent="0.35">
      <c r="C79" s="169" t="s">
        <v>219</v>
      </c>
    </row>
    <row r="80" spans="3:3" ht="14.5" x14ac:dyDescent="0.35">
      <c r="C80" s="169" t="s">
        <v>220</v>
      </c>
    </row>
    <row r="81" spans="2:3" ht="14.5" x14ac:dyDescent="0.35">
      <c r="C81" s="169" t="s">
        <v>180</v>
      </c>
    </row>
    <row r="82" spans="2:3" ht="14.5" x14ac:dyDescent="0.35">
      <c r="C82" s="169" t="s">
        <v>179</v>
      </c>
    </row>
    <row r="83" spans="2:3" ht="14.5" x14ac:dyDescent="0.35">
      <c r="C83" s="169" t="s">
        <v>221</v>
      </c>
    </row>
    <row r="84" spans="2:3" ht="14.5" x14ac:dyDescent="0.35"/>
    <row r="85" spans="2:3" ht="14.5" x14ac:dyDescent="0.35">
      <c r="B85" s="167" t="s">
        <v>224</v>
      </c>
    </row>
    <row r="86" spans="2:3" ht="14.65" customHeight="1" x14ac:dyDescent="0.35"/>
    <row r="87" spans="2:3" ht="14.65" customHeight="1" x14ac:dyDescent="0.35">
      <c r="B87" s="167" t="s">
        <v>225</v>
      </c>
    </row>
    <row r="88" spans="2:3" ht="14.65" customHeight="1" x14ac:dyDescent="0.35">
      <c r="B88" s="167" t="s">
        <v>226</v>
      </c>
    </row>
    <row r="89" spans="2:3" ht="14.65" customHeight="1" x14ac:dyDescent="0.35">
      <c r="B89" s="167" t="s">
        <v>227</v>
      </c>
    </row>
    <row r="90" spans="2:3" ht="14.65" customHeight="1" x14ac:dyDescent="0.35">
      <c r="B90" s="167" t="s">
        <v>228</v>
      </c>
    </row>
    <row r="91" spans="2:3" ht="14.65" customHeight="1" x14ac:dyDescent="0.35">
      <c r="B91" s="167" t="s">
        <v>229</v>
      </c>
    </row>
    <row r="92" spans="2:3" ht="14.5" x14ac:dyDescent="0.35">
      <c r="B92" s="170" t="s">
        <v>230</v>
      </c>
    </row>
    <row r="93" spans="2:3" ht="15" customHeight="1" x14ac:dyDescent="0.35"/>
  </sheetData>
  <mergeCells count="2">
    <mergeCell ref="B2:K2"/>
    <mergeCell ref="B3:K3"/>
  </mergeCells>
  <hyperlinks>
    <hyperlink ref="C5" location="'Table 0'!A1" display="Table 1: Summary of AHS  2024 results " xr:uid="{00000000-0004-0000-0000-000000000000}"/>
    <hyperlink ref="C7" location="'Table 2'!B2" display="Table 2: Poverty status among agricultural households" xr:uid="{00000000-0004-0000-0000-000001000000}"/>
    <hyperlink ref="C8" location="'Table 3'!B2" display="Table 3: Percentage of agricultural households, by province and livelihood activity (gender-disaggregated" xr:uid="{00000000-0004-0000-0000-000002000000}"/>
    <hyperlink ref="C9" location="'Table 4'!A1" display="Table 4: Percentage of agricultural households practicing other livelihood activities that complement agriculture, by province" xr:uid="{00000000-0004-0000-0000-000003000000}"/>
    <hyperlink ref="C10" location="'Table 5'!A1" display="Table 5: Percentage of agricultural-household heads by marital status and province (gender-disaggregated) " xr:uid="{00000000-0004-0000-0000-000004000000}"/>
    <hyperlink ref="C11" location="'Table 6'!A1" display="Table 6: Agricultural households population by age group and province in 2024" xr:uid="{00000000-0004-0000-0000-000005000000}"/>
    <hyperlink ref="C12" location="'Table 7'!A1" display="Table 7: Percentage of agricultural households’ population aged 16 and above by sex, education level and province" xr:uid="{00000000-0004-0000-0000-000006000000}"/>
    <hyperlink ref="C13" location="'Table 8'!A1" display="Table 8: Main crops GVA in constant 2017 prices (Frw /ha)household members" xr:uid="{00000000-0004-0000-0000-000007000000}"/>
    <hyperlink ref="C14" location="'Table 9'!A1" display="Table 9:  2025 Season A_Agricultural land use per district (,000Ha)" xr:uid="{00000000-0004-0000-0000-000008000000}"/>
    <hyperlink ref="C17" location="'Table 12'!A1" display="Table 12:  Season B 2025_Area under agricultural practices (in Ha)" xr:uid="{00000000-0004-0000-0000-000009000000}"/>
    <hyperlink ref="C16" location="'Table 11'!A1" display="Table 11: Season A 2025_Area under agricultural practices (in Ha)" xr:uid="{00000000-0004-0000-0000-00000A000000}"/>
    <hyperlink ref="C15" location="'Table 10'!A1" display="Table 10:2025 Season B_Agricultural land use per district (,000Ha)" xr:uid="{00000000-0004-0000-0000-00000B000000}"/>
    <hyperlink ref="C18" location="'Table 13'!A1" display="Table 13:  2025 Season A_Cultivated area by crop type and district (Ha)" xr:uid="{00000000-0004-0000-0000-00000C000000}"/>
    <hyperlink ref="C55" location="'Table 50'!B2" display="Table 50: 025 Season B_Percentage of farmers by source of inorganic fertilizers per district " xr:uid="{00000000-0004-0000-0000-00000D000000}"/>
    <hyperlink ref="C83" location="'Table 78'!B2" display="Table 78: 2025 Season C_Percentage of plots by degree of erosion per district " xr:uid="{00000000-0004-0000-0000-00000E000000}"/>
    <hyperlink ref="C48" location="'Table 43'!B2" display="Table 43: 2025 Season A_Use of organic fertilizer by farmer type per district (Percentage)" xr:uid="{00000000-0004-0000-0000-00000F000000}"/>
    <hyperlink ref="C49" location="'Table 45'!B2" display="Table 44: 2025 Season B_Use of organic fertilizer by farmer type per district (Percentage)" xr:uid="{00000000-0004-0000-0000-000010000000}"/>
    <hyperlink ref="C50" location="'Table 45'!B2" display="Table 45:2025 Season C_Use of organic fertilizer by farmer type per district (Percentage)" xr:uid="{00000000-0004-0000-0000-000011000000}"/>
    <hyperlink ref="C51" location="'Table 46'!B2" display="Table 46: 2025 Season A_Use of Inorganic fertilizer by farmer type per district (Percentage)" xr:uid="{00000000-0004-0000-0000-000012000000}"/>
    <hyperlink ref="C52" location="'Table 47'!B2" display="Table 47: 2025 Season B_Use of Inorganic fertilizer by farmer type per district (Percentage)" xr:uid="{00000000-0004-0000-0000-000013000000}"/>
    <hyperlink ref="C53" location="'Table 48'!B2" display="Table 48: 2025 Season C_Use of Inorganic fertilizer by farmer type per district (Percentage)" xr:uid="{00000000-0004-0000-0000-000014000000}"/>
    <hyperlink ref="C54" location="'Table 49'!B2" display="Table 49: 2025 Season A_Percentage of farmers by source of inorganic fertilizers per district " xr:uid="{00000000-0004-0000-0000-000015000000}"/>
    <hyperlink ref="C19" location="'Table 14'!A1" display="Table 14: 2025 Season B_Cultivated area by crop type and district (Ha)" xr:uid="{00000000-0004-0000-0000-000016000000}"/>
    <hyperlink ref="C20" location="'Table 15'!A1" display="Table 15: 2025 Season C_Cultivated area by crop type and district (Ha)" xr:uid="{00000000-0004-0000-0000-000017000000}"/>
    <hyperlink ref="C21" location="'Table 16'!B1" display="Table 16:   2025 Season A_Harvested area by crop type and district (Ha)  " xr:uid="{00000000-0004-0000-0000-000018000000}"/>
    <hyperlink ref="C22" location="'Table 17'!B1" display="Table 17: 2025 Season B_Harvested area by crop type and district (Ha)  " xr:uid="{00000000-0004-0000-0000-000019000000}"/>
    <hyperlink ref="C23" location="'Table 18'!A1" display="Table 18:2025 Season C_Harvested area by crop type and district (Ha)  " xr:uid="{00000000-0004-0000-0000-00001A000000}"/>
    <hyperlink ref="C24" location="'Table 19'!B1" display="Table 19: Season A 2025_Average yield by crop type and district (Kg/Ha)" xr:uid="{00000000-0004-0000-0000-00001B000000}"/>
    <hyperlink ref="C25" location="'Table 20'!B2" display="Table 20: Season B 2025_Average yield by crop type and district (Kg/Ha)" xr:uid="{00000000-0004-0000-0000-00001C000000}"/>
    <hyperlink ref="C26" location="'Table 21'!B1" display="Table 21:Season C 2025_Average yield by crop type and district (Kg/Ha)" xr:uid="{00000000-0004-0000-0000-00001D000000}"/>
    <hyperlink ref="C27" location="'Table 22'!B1" display="Table 22: Season A 2025_Average yield of large-scale farmers by crop type and district (Kg/Ha)" xr:uid="{00000000-0004-0000-0000-00001E000000}"/>
    <hyperlink ref="C28" location="'Table 23'!B1" display="Table 23: Season B 2025_Average yield of large-scale farmers by crop type and district (Kg/Ha)" xr:uid="{00000000-0004-0000-0000-00001F000000}"/>
    <hyperlink ref="C29" location="'Table 24'!B1" display="Table 24: Season A 2025_Crop production by crop type and district (MT)" xr:uid="{00000000-0004-0000-0000-000020000000}"/>
    <hyperlink ref="C30" location="'Table 25'!B1" display="Table 25: Season B 2025_Crop production by crop type and district (MT)" xr:uid="{00000000-0004-0000-0000-000021000000}"/>
    <hyperlink ref="C31" location="'Table 26'!B1" display="Table 26: Season C 2025_Crop production by crop type and district (MT)" xr:uid="{00000000-0004-0000-0000-000022000000}"/>
    <hyperlink ref="C32" location="'Table 27'!B2" display="Table 27:  2025 Season A_The Use of production by farmers (in percentage)" xr:uid="{00000000-0004-0000-0000-000023000000}"/>
    <hyperlink ref="C33" location="'Table 28'!B2" display="Table 28: Percentage of Household members who received extension services" xr:uid="{00000000-0004-0000-0000-000024000000}"/>
    <hyperlink ref="C34" location="'Table 29'!B2" display="Table 29: Percentage of agricultural households by type and source of extension services " xr:uid="{00000000-0004-0000-0000-000025000000}"/>
    <hyperlink ref="C35" location="'Table 30'!B1" display="Table 30:  Sowing date per Season and District in 2025 (%)" xr:uid="{00000000-0004-0000-0000-000026000000}"/>
    <hyperlink ref="C36" location="'Table 31'!B2" display="Table 31: Sowing dates per Season and crop type in 2025 (%)" xr:uid="{00000000-0004-0000-0000-000027000000}"/>
    <hyperlink ref="C37" location="'Table 32'!B2" display="Table 32:Cultivated area by cropping system, per season and district (%) in 2025" xr:uid="{00000000-0004-0000-0000-000028000000}"/>
    <hyperlink ref="C38" location="'Table 33'!B2" display="Table 33: 2025 Season A_Use of seeds by farmer type per district (Percentage)" xr:uid="{00000000-0004-0000-0000-000029000000}"/>
    <hyperlink ref="C39" location="'Table 34'!B2" display="Table 34: 2025 Season B_Use of seeds by farmer type per district (Percentage)" xr:uid="{00000000-0004-0000-0000-00002A000000}"/>
    <hyperlink ref="C40" location="'Table 35'!B2" display="Table 35: 2025 Season C_Use of seeds by farmer type per district (Percentage)" xr:uid="{00000000-0004-0000-0000-00002B000000}"/>
    <hyperlink ref="C41" location="'Table 36'!A1" display="Table 36:  Seed use by crop type and season in 2025 (%)" xr:uid="{00000000-0004-0000-0000-00002C000000}"/>
    <hyperlink ref="C42" location="'Table 37'!B2" display="Table 37: 2025 Season A_Percentage of farmers by source of improved seeds per district " xr:uid="{00000000-0004-0000-0000-00002D000000}"/>
    <hyperlink ref="C43" location="'Table 38'!B1" display="Table 38: 2025 Season B_Percentage of farmers by source of improved seeds per district " xr:uid="{00000000-0004-0000-0000-00002E000000}"/>
    <hyperlink ref="C44" location="'Table 39'!B2" display="Table 39:  2025 Season C_Percentage of farmers by source of improved seeds per district" xr:uid="{00000000-0004-0000-0000-00002F000000}"/>
    <hyperlink ref="C45" location="'Table 40'!B2" display="Table 40: 2025 Season A_Percentage of crops by source of seeds" xr:uid="{00000000-0004-0000-0000-000030000000}"/>
    <hyperlink ref="C46" location="'Table 41'!B2" display="Table 41: 2025 Season B_Percentage of crops by source of seeds" xr:uid="{00000000-0004-0000-0000-000031000000}"/>
    <hyperlink ref="C47" location="'Table 42'!B2" display="Table 42: 2025 Season C_Percentage of crops by source of seeds" xr:uid="{00000000-0004-0000-0000-000032000000}"/>
    <hyperlink ref="C56" location="'Table 51'!B2" display="Table 51: 2025 Season C_Percentage of farmers by source of inorganic fertilizers per district " xr:uid="{00000000-0004-0000-0000-000033000000}"/>
    <hyperlink ref="C62" location="'Table 57'!B2" display="Table 57:  2025 Season C Percentage of plots by type of inorganic fertilizer per district" xr:uid="{00000000-0004-0000-0000-000034000000}"/>
    <hyperlink ref="C63" location="'Table 58'!B2" display="Table 58: 2025 Season A_Use of pesticides by farmer type per district (Percentage)" xr:uid="{00000000-0004-0000-0000-000035000000}"/>
    <hyperlink ref="C67" location="'Table 62'!B2" display="Table 62:2025 Season B_Percentage of plots by type of pesticides per district " xr:uid="{00000000-0004-0000-0000-000036000000}"/>
    <hyperlink ref="C68" location="'Table 63'!B2" display="Table 63: 2025 Season C Percentage of plots by type of pesticides per district" xr:uid="{00000000-0004-0000-0000-000037000000}"/>
    <hyperlink ref="C6" location="'Table 1'!A1" display="Table 1: Summary of Seasonal Agricultural Survey main indicators" xr:uid="{00000000-0004-0000-0000-000038000000}"/>
    <hyperlink ref="C64" location="'Table 59'!B2" display="Table 59: 2025 Season B_Use of pesticides by farmer type per district (Percentage)" xr:uid="{00000000-0004-0000-0000-000039000000}"/>
    <hyperlink ref="C65" location="'Table 60'!B2" display="Table 60: 2025 Season C_Use of pesticides by farmer type per district (Percentage)" xr:uid="{00000000-0004-0000-0000-00003A000000}"/>
    <hyperlink ref="C66" location="'Table 61'!B2" display="Table 61: 2025 Season A_Percentage of plots by type of pesticides per district " xr:uid="{00000000-0004-0000-0000-00003B000000}"/>
    <hyperlink ref="C57" location="'Table 52'!B2" display="Table 52: 2025 Season A_Source of inorganic fertilizer by type of fertilizer " xr:uid="{00000000-0004-0000-0000-00003C000000}"/>
    <hyperlink ref="C58" location="'Table 54'!B2" display="Table 53:2025 Season B_Source of inorganic fertilizer by type of fertilizer " xr:uid="{00000000-0004-0000-0000-00003D000000}"/>
    <hyperlink ref="C59" location="'Table 54'!B2" display="Table 54: 2025 Season C_Source of inorganic fertilizer by type of fertilizer " xr:uid="{00000000-0004-0000-0000-00003E000000}"/>
    <hyperlink ref="C60" location="'Table 55'!B2" display="Table 55: 2025 Season A_Percentage of plots by type of inorganic fertilizer per district " xr:uid="{00000000-0004-0000-0000-00003F000000}"/>
    <hyperlink ref="C61" location="'Table 57'!B2" display="Table 56: 2025 Season B_Percentage of plots by type of inorganic fertilizer per district " xr:uid="{00000000-0004-0000-0000-000040000000}"/>
    <hyperlink ref="C69" location="'Table 64'!B2" display="Table 64: 2025 Season A_Percentage of farmers who practiced agricultural practices" xr:uid="{00000000-0004-0000-0000-000041000000}"/>
    <hyperlink ref="C70" location="'Table 65'!B2" display="Table 65: 2025 Season B_Percentage of farmers who practiced agricultural practices" xr:uid="{00000000-0004-0000-0000-000042000000}"/>
    <hyperlink ref="C71" location="'Table 66'!B2" display="Table 66: 2025 Season C_Percentage of farmers who practiced agricultural practices" xr:uid="{00000000-0004-0000-0000-000043000000}"/>
    <hyperlink ref="C72" location="'Table 67'!B2" display="Table 67: 2025 Season A_Percentage of plots by types of irrigation used " xr:uid="{00000000-0004-0000-0000-000044000000}"/>
    <hyperlink ref="C73" location="'Table 68'!B2" display="Table 68:  2025 Season B_Percentage of plots by types of irrigation used " xr:uid="{00000000-0004-0000-0000-000045000000}"/>
    <hyperlink ref="C74" location="'Table 69'!B2" display="Table 69: 2025 Season C Percentage of plots by types of irrigation used" xr:uid="{00000000-0004-0000-0000-000046000000}"/>
    <hyperlink ref="C75" location="'Table 70'!B2" display="Table 70: 2025 Season A_Percentage of plots by source of water used and district " xr:uid="{00000000-0004-0000-0000-000047000000}"/>
    <hyperlink ref="C76" location="'Table 71'!B2" display="Table 71: 2025 Season B_Percentage of plots by source of water used and district " xr:uid="{00000000-0004-0000-0000-000048000000}"/>
    <hyperlink ref="C77" location="'Table 72'!B2" display="Table 72: 2025 Season C_Percentage of plots by source of water used and district " xr:uid="{00000000-0004-0000-0000-000049000000}"/>
    <hyperlink ref="C78" location="'Table 73'!B2" display="Table 73:  2025 Season A_Percentage of plots by type of anti-erosion activities and district " xr:uid="{00000000-0004-0000-0000-00004A000000}"/>
    <hyperlink ref="C79" location="'Table 74'!B2" display="Table 74: 2025 Season B_Percentage of plots by type of anti-erosion activities and district " xr:uid="{00000000-0004-0000-0000-00004B000000}"/>
    <hyperlink ref="C80" location="'Table 75'!B2" display="Table 75:  2025 Season C_Percentage of plots by type of anti-erosion activities and district " xr:uid="{00000000-0004-0000-0000-00004C000000}"/>
    <hyperlink ref="C81" location="'Table 76'!B2" display="Table 76: 2025 Season A_Percentage of plots by degree of erosion per district " xr:uid="{00000000-0004-0000-0000-00004D000000}"/>
    <hyperlink ref="C82" location="'Table 77'!B2" display="Table 77: 2025 Season B_Percentage of plots by degree of erosion per district " xr:uid="{00000000-0004-0000-0000-00004E000000}"/>
  </hyperlinks>
  <pageMargins left="0.25" right="0.25" top="0.75" bottom="0.75" header="0.3" footer="0.3"/>
  <pageSetup scale="48" orientation="landscape" r:id="rId1"/>
  <headerFooter>
    <oddFooter>&amp;LNational Institute of Statistics of Rwanda&amp;RRwanda Labour Force Survey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99"/>
  <sheetViews>
    <sheetView topLeftCell="F67" zoomScaleNormal="100" workbookViewId="0">
      <selection activeCell="M85" sqref="M85"/>
    </sheetView>
  </sheetViews>
  <sheetFormatPr defaultRowHeight="14.5" x14ac:dyDescent="0.35"/>
  <cols>
    <col min="2" max="2" width="36" customWidth="1"/>
    <col min="3" max="3" width="17.6328125" bestFit="1" customWidth="1"/>
    <col min="4" max="4" width="18.54296875" bestFit="1" customWidth="1"/>
    <col min="5" max="5" width="15.6328125" bestFit="1" customWidth="1"/>
    <col min="6" max="6" width="11.08984375" bestFit="1" customWidth="1"/>
    <col min="7" max="7" width="13" bestFit="1" customWidth="1"/>
    <col min="8" max="8" width="9.1796875" bestFit="1" customWidth="1"/>
    <col min="9" max="9" width="9.7265625" bestFit="1" customWidth="1"/>
    <col min="10" max="10" width="9.26953125" bestFit="1" customWidth="1"/>
  </cols>
  <sheetData>
    <row r="2" spans="2:11" ht="16.5" customHeight="1" x14ac:dyDescent="0.35">
      <c r="B2" s="24" t="s">
        <v>141</v>
      </c>
    </row>
    <row r="3" spans="2:11" ht="15" customHeight="1" thickBot="1" x14ac:dyDescent="0.4">
      <c r="B3" s="39"/>
      <c r="C3" s="4"/>
      <c r="D3" s="4"/>
      <c r="E3" s="4"/>
      <c r="F3" s="4"/>
      <c r="G3" s="4"/>
      <c r="H3" s="4"/>
      <c r="I3" s="4"/>
    </row>
    <row r="4" spans="2:11" ht="15" thickBot="1" x14ac:dyDescent="0.4">
      <c r="B4" s="179" t="s">
        <v>142</v>
      </c>
      <c r="C4" s="182" t="s">
        <v>169</v>
      </c>
      <c r="D4" s="183"/>
      <c r="E4" s="184"/>
      <c r="F4" s="185" t="s">
        <v>143</v>
      </c>
      <c r="G4" s="186"/>
      <c r="H4" s="187"/>
      <c r="I4" s="185" t="s">
        <v>170</v>
      </c>
      <c r="J4" s="186"/>
      <c r="K4" s="187"/>
    </row>
    <row r="5" spans="2:11" ht="15" thickBot="1" x14ac:dyDescent="0.4">
      <c r="B5" s="180"/>
      <c r="C5" s="182" t="s">
        <v>144</v>
      </c>
      <c r="D5" s="183"/>
      <c r="E5" s="184"/>
      <c r="F5" s="182" t="s">
        <v>144</v>
      </c>
      <c r="G5" s="183"/>
      <c r="H5" s="184"/>
      <c r="I5" s="182" t="s">
        <v>144</v>
      </c>
      <c r="J5" s="183"/>
      <c r="K5" s="184"/>
    </row>
    <row r="6" spans="2:11" ht="15" thickBot="1" x14ac:dyDescent="0.4">
      <c r="B6" s="181"/>
      <c r="C6" s="118" t="s">
        <v>145</v>
      </c>
      <c r="D6" s="118" t="s">
        <v>146</v>
      </c>
      <c r="E6" s="119" t="s">
        <v>147</v>
      </c>
      <c r="F6" s="118" t="s">
        <v>145</v>
      </c>
      <c r="G6" s="118" t="s">
        <v>146</v>
      </c>
      <c r="H6" s="119" t="s">
        <v>147</v>
      </c>
      <c r="I6" s="118" t="s">
        <v>145</v>
      </c>
      <c r="J6" s="118" t="s">
        <v>146</v>
      </c>
      <c r="K6" s="120" t="s">
        <v>147</v>
      </c>
    </row>
    <row r="7" spans="2:11" ht="15" thickBot="1" x14ac:dyDescent="0.4">
      <c r="B7" s="173" t="s">
        <v>149</v>
      </c>
      <c r="C7" s="174"/>
      <c r="D7" s="174"/>
      <c r="E7" s="174"/>
      <c r="F7" s="174"/>
      <c r="G7" s="174"/>
      <c r="H7" s="174"/>
      <c r="I7" s="174"/>
      <c r="J7" s="174"/>
      <c r="K7" s="175"/>
    </row>
    <row r="8" spans="2:11" x14ac:dyDescent="0.35">
      <c r="B8" s="121" t="s">
        <v>57</v>
      </c>
      <c r="C8" s="11">
        <v>226982</v>
      </c>
      <c r="D8" s="11">
        <v>93927</v>
      </c>
      <c r="E8" s="146" t="s">
        <v>22</v>
      </c>
      <c r="F8" s="123">
        <v>249435</v>
      </c>
      <c r="G8" s="123">
        <v>92944</v>
      </c>
      <c r="H8" s="146"/>
      <c r="I8" s="123">
        <v>244095.2</v>
      </c>
      <c r="J8" s="123">
        <v>93004.99</v>
      </c>
      <c r="K8" s="146"/>
    </row>
    <row r="9" spans="2:11" x14ac:dyDescent="0.35">
      <c r="B9" s="121" t="s">
        <v>58</v>
      </c>
      <c r="C9" s="11">
        <v>38979</v>
      </c>
      <c r="D9" s="11">
        <v>121079</v>
      </c>
      <c r="E9" s="146" t="s">
        <v>22</v>
      </c>
      <c r="F9" s="123">
        <v>34720</v>
      </c>
      <c r="G9" s="123">
        <v>120005</v>
      </c>
      <c r="H9" s="146"/>
      <c r="I9" s="123">
        <v>40352.800000000003</v>
      </c>
      <c r="J9" s="123">
        <v>107195.15083999999</v>
      </c>
      <c r="K9" s="146"/>
    </row>
    <row r="10" spans="2:11" x14ac:dyDescent="0.35">
      <c r="B10" s="121" t="s">
        <v>59</v>
      </c>
      <c r="C10" s="11">
        <v>16135</v>
      </c>
      <c r="D10" s="11">
        <v>16678</v>
      </c>
      <c r="E10" s="146" t="s">
        <v>22</v>
      </c>
      <c r="F10" s="123">
        <v>17173</v>
      </c>
      <c r="G10" s="123">
        <v>17994</v>
      </c>
      <c r="H10" s="146"/>
      <c r="I10" s="123">
        <v>17311.61</v>
      </c>
      <c r="J10" s="123">
        <v>17969.566364999999</v>
      </c>
      <c r="K10" s="146"/>
    </row>
    <row r="11" spans="2:11" x14ac:dyDescent="0.35">
      <c r="B11" s="121" t="s">
        <v>60</v>
      </c>
      <c r="C11" s="11">
        <v>2975</v>
      </c>
      <c r="D11" s="11">
        <v>10375</v>
      </c>
      <c r="E11" s="146" t="s">
        <v>22</v>
      </c>
      <c r="F11" s="123">
        <v>2618</v>
      </c>
      <c r="G11" s="123">
        <v>10294</v>
      </c>
      <c r="H11" s="146"/>
      <c r="I11" s="123">
        <v>2391.0509999999999</v>
      </c>
      <c r="J11" s="123">
        <v>9297.6017400000001</v>
      </c>
      <c r="K11" s="146"/>
    </row>
    <row r="12" spans="2:11" x14ac:dyDescent="0.35">
      <c r="B12" s="121" t="s">
        <v>61</v>
      </c>
      <c r="C12" s="11">
        <v>239221</v>
      </c>
      <c r="D12" s="11">
        <v>159089</v>
      </c>
      <c r="E12" s="146" t="s">
        <v>22</v>
      </c>
      <c r="F12" s="123">
        <v>251019</v>
      </c>
      <c r="G12" s="123">
        <v>172596</v>
      </c>
      <c r="H12" s="146"/>
      <c r="I12" s="123">
        <v>247839</v>
      </c>
      <c r="J12" s="123">
        <v>196881.37428359009</v>
      </c>
      <c r="K12" s="146"/>
    </row>
    <row r="13" spans="2:11" x14ac:dyDescent="0.35">
      <c r="B13" s="121" t="s">
        <v>62</v>
      </c>
      <c r="C13" s="11">
        <v>106670</v>
      </c>
      <c r="D13" s="11">
        <v>96231</v>
      </c>
      <c r="E13" s="147">
        <v>4235</v>
      </c>
      <c r="F13" s="123">
        <v>95683</v>
      </c>
      <c r="G13" s="123">
        <v>97289</v>
      </c>
      <c r="H13" s="147">
        <v>4429</v>
      </c>
      <c r="I13" s="123">
        <v>82457.899999999994</v>
      </c>
      <c r="J13" s="123">
        <v>89679.29</v>
      </c>
      <c r="K13" s="147">
        <v>4538.8917254521584</v>
      </c>
    </row>
    <row r="14" spans="2:11" x14ac:dyDescent="0.35">
      <c r="B14" s="121" t="s">
        <v>63</v>
      </c>
      <c r="C14" s="11">
        <v>55613</v>
      </c>
      <c r="D14" s="11">
        <v>48210</v>
      </c>
      <c r="E14" s="147">
        <v>10540</v>
      </c>
      <c r="F14" s="123">
        <v>54048</v>
      </c>
      <c r="G14" s="123">
        <v>41836</v>
      </c>
      <c r="H14" s="147">
        <v>8846</v>
      </c>
      <c r="I14" s="123">
        <v>54485.24</v>
      </c>
      <c r="J14" s="123">
        <v>45939.54</v>
      </c>
      <c r="K14" s="147">
        <v>10389.221365135443</v>
      </c>
    </row>
    <row r="15" spans="2:11" x14ac:dyDescent="0.35">
      <c r="B15" s="121" t="s">
        <v>171</v>
      </c>
      <c r="C15" s="11">
        <v>21066</v>
      </c>
      <c r="D15" s="11">
        <v>16015</v>
      </c>
      <c r="E15" s="146" t="s">
        <v>22</v>
      </c>
      <c r="F15" s="123">
        <v>24766</v>
      </c>
      <c r="G15" s="123">
        <v>16725</v>
      </c>
      <c r="H15" s="146"/>
      <c r="I15" s="123">
        <v>23150.01</v>
      </c>
      <c r="J15" s="123">
        <v>18573.349999999999</v>
      </c>
      <c r="K15" s="147"/>
    </row>
    <row r="16" spans="2:11" x14ac:dyDescent="0.35">
      <c r="B16" s="125" t="s">
        <v>90</v>
      </c>
      <c r="C16" s="11">
        <v>255290</v>
      </c>
      <c r="D16" s="11">
        <v>258094</v>
      </c>
      <c r="E16" s="148" t="s">
        <v>22</v>
      </c>
      <c r="F16" s="123">
        <v>273223</v>
      </c>
      <c r="G16" s="123">
        <v>258564</v>
      </c>
      <c r="H16" s="148"/>
      <c r="I16" s="123">
        <v>268551.82999999996</v>
      </c>
      <c r="J16" s="123">
        <v>238119.15</v>
      </c>
      <c r="K16" s="147"/>
    </row>
    <row r="17" spans="2:11" x14ac:dyDescent="0.35">
      <c r="B17" s="121" t="s">
        <v>64</v>
      </c>
      <c r="C17" s="11">
        <v>96262</v>
      </c>
      <c r="D17" s="11">
        <v>87735</v>
      </c>
      <c r="E17" s="146" t="s">
        <v>22</v>
      </c>
      <c r="F17" s="123">
        <v>102458</v>
      </c>
      <c r="G17" s="123">
        <v>90123</v>
      </c>
      <c r="H17" s="146"/>
      <c r="I17" s="123">
        <v>104232.2</v>
      </c>
      <c r="J17" s="123">
        <v>85220.6</v>
      </c>
      <c r="K17" s="147"/>
    </row>
    <row r="18" spans="2:11" x14ac:dyDescent="0.35">
      <c r="B18" s="121" t="s">
        <v>65</v>
      </c>
      <c r="C18" s="11">
        <v>37009</v>
      </c>
      <c r="D18" s="11">
        <v>54000</v>
      </c>
      <c r="E18" s="146" t="s">
        <v>22</v>
      </c>
      <c r="F18" s="123">
        <v>44094</v>
      </c>
      <c r="G18" s="123">
        <v>48809</v>
      </c>
      <c r="H18" s="146"/>
      <c r="I18" s="123">
        <v>40539.730000000003</v>
      </c>
      <c r="J18" s="123">
        <v>35831.65</v>
      </c>
      <c r="K18" s="147"/>
    </row>
    <row r="19" spans="2:11" x14ac:dyDescent="0.35">
      <c r="B19" s="121" t="s">
        <v>66</v>
      </c>
      <c r="C19" s="11">
        <v>122019</v>
      </c>
      <c r="D19" s="11">
        <v>116359</v>
      </c>
      <c r="E19" s="146" t="s">
        <v>22</v>
      </c>
      <c r="F19" s="123">
        <v>126671</v>
      </c>
      <c r="G19" s="123">
        <v>119632</v>
      </c>
      <c r="H19" s="146"/>
      <c r="I19" s="123">
        <v>123779.9</v>
      </c>
      <c r="J19" s="123">
        <v>117066.9</v>
      </c>
      <c r="K19" s="147"/>
    </row>
    <row r="20" spans="2:11" x14ac:dyDescent="0.35">
      <c r="B20" s="121" t="s">
        <v>82</v>
      </c>
      <c r="C20" s="123">
        <v>312279</v>
      </c>
      <c r="D20" s="123">
        <v>309489</v>
      </c>
      <c r="E20" s="147">
        <v>3476</v>
      </c>
      <c r="F20" s="123">
        <v>329001</v>
      </c>
      <c r="G20" s="123">
        <v>329112</v>
      </c>
      <c r="H20" s="147">
        <v>2892</v>
      </c>
      <c r="I20" s="123">
        <v>327147</v>
      </c>
      <c r="J20" s="123">
        <v>335051.7</v>
      </c>
      <c r="K20" s="147">
        <v>3136.1907861493182</v>
      </c>
    </row>
    <row r="21" spans="2:11" x14ac:dyDescent="0.35">
      <c r="B21" s="121" t="s">
        <v>68</v>
      </c>
      <c r="C21" s="11">
        <v>10475</v>
      </c>
      <c r="D21" s="11">
        <v>8383</v>
      </c>
      <c r="E21" s="146">
        <v>459</v>
      </c>
      <c r="F21" s="123">
        <v>10245</v>
      </c>
      <c r="G21" s="123">
        <v>8248</v>
      </c>
      <c r="H21" s="146">
        <v>527</v>
      </c>
      <c r="I21" s="123">
        <v>9881.6630000000005</v>
      </c>
      <c r="J21" s="123">
        <v>8088.9409999999998</v>
      </c>
      <c r="K21" s="147">
        <v>589.5169369434584</v>
      </c>
    </row>
    <row r="22" spans="2:11" x14ac:dyDescent="0.35">
      <c r="B22" s="121" t="s">
        <v>69</v>
      </c>
      <c r="C22" s="11">
        <v>11191</v>
      </c>
      <c r="D22" s="11">
        <v>17745</v>
      </c>
      <c r="E22" s="146" t="s">
        <v>22</v>
      </c>
      <c r="F22" s="123">
        <v>9563</v>
      </c>
      <c r="G22" s="123">
        <v>21085</v>
      </c>
      <c r="H22" s="146"/>
      <c r="I22" s="123">
        <v>10832.26</v>
      </c>
      <c r="J22" s="123">
        <v>17803.150000000001</v>
      </c>
      <c r="K22" s="147">
        <v>20.874112224066387</v>
      </c>
    </row>
    <row r="23" spans="2:11" x14ac:dyDescent="0.35">
      <c r="B23" s="121" t="s">
        <v>70</v>
      </c>
      <c r="C23" s="11">
        <v>29778</v>
      </c>
      <c r="D23" s="11">
        <v>40235</v>
      </c>
      <c r="E23" s="146">
        <v>759</v>
      </c>
      <c r="F23" s="123">
        <v>31515</v>
      </c>
      <c r="G23" s="123">
        <v>40059</v>
      </c>
      <c r="H23" s="146">
        <v>576</v>
      </c>
      <c r="I23" s="123">
        <v>29361.42</v>
      </c>
      <c r="J23" s="123">
        <v>38152.239999999998</v>
      </c>
      <c r="K23" s="147">
        <v>642.66877907935771</v>
      </c>
    </row>
    <row r="24" spans="2:11" x14ac:dyDescent="0.35">
      <c r="B24" s="121" t="s">
        <v>76</v>
      </c>
      <c r="C24" s="11">
        <v>16758</v>
      </c>
      <c r="D24" s="11">
        <v>19164</v>
      </c>
      <c r="E24" s="147">
        <v>5233</v>
      </c>
      <c r="F24" s="123">
        <v>19142</v>
      </c>
      <c r="G24" s="123">
        <v>20161</v>
      </c>
      <c r="H24" s="147">
        <v>5738</v>
      </c>
      <c r="I24" s="123">
        <v>20780.127800000002</v>
      </c>
      <c r="J24" s="123">
        <v>20699.341550000001</v>
      </c>
      <c r="K24" s="147">
        <v>5796.0479312655561</v>
      </c>
    </row>
    <row r="25" spans="2:11" ht="15" thickBot="1" x14ac:dyDescent="0.4">
      <c r="B25" s="126" t="s">
        <v>77</v>
      </c>
      <c r="C25" s="127">
        <v>10131</v>
      </c>
      <c r="D25" s="127">
        <v>10507</v>
      </c>
      <c r="E25" s="149" t="s">
        <v>22</v>
      </c>
      <c r="F25" s="127">
        <v>10332</v>
      </c>
      <c r="G25" s="127">
        <v>10463</v>
      </c>
      <c r="H25" s="149"/>
      <c r="I25" s="127">
        <v>14020.72</v>
      </c>
      <c r="J25" s="127">
        <v>11944.942619054806</v>
      </c>
      <c r="K25" s="150"/>
    </row>
    <row r="26" spans="2:11" ht="15" thickBot="1" x14ac:dyDescent="0.4">
      <c r="B26" s="176" t="s">
        <v>148</v>
      </c>
      <c r="C26" s="177"/>
      <c r="D26" s="177"/>
      <c r="E26" s="177"/>
      <c r="F26" s="177"/>
      <c r="G26" s="177"/>
      <c r="H26" s="177"/>
      <c r="I26" s="177"/>
      <c r="J26" s="177"/>
      <c r="K26" s="178"/>
    </row>
    <row r="27" spans="2:11" x14ac:dyDescent="0.35">
      <c r="B27" s="165" t="s">
        <v>57</v>
      </c>
      <c r="C27" s="11">
        <v>224976</v>
      </c>
      <c r="D27" s="11">
        <v>93816</v>
      </c>
      <c r="E27" s="122" t="s">
        <v>22</v>
      </c>
      <c r="F27" s="123">
        <v>249276</v>
      </c>
      <c r="G27" s="123">
        <v>92749</v>
      </c>
      <c r="H27" s="122"/>
      <c r="I27" s="123">
        <v>242439.41178600001</v>
      </c>
      <c r="J27" s="123">
        <v>92978.831099000003</v>
      </c>
      <c r="K27" s="122"/>
    </row>
    <row r="28" spans="2:11" x14ac:dyDescent="0.35">
      <c r="B28" s="165" t="s">
        <v>58</v>
      </c>
      <c r="C28" s="11">
        <v>38935</v>
      </c>
      <c r="D28" s="11">
        <v>121054</v>
      </c>
      <c r="E28" s="122" t="s">
        <v>22</v>
      </c>
      <c r="F28" s="123">
        <v>34719</v>
      </c>
      <c r="G28" s="123">
        <v>120005</v>
      </c>
      <c r="H28" s="122"/>
      <c r="I28" s="123">
        <v>40297.563867999997</v>
      </c>
      <c r="J28" s="123">
        <v>107195.15083999999</v>
      </c>
      <c r="K28" s="122"/>
    </row>
    <row r="29" spans="2:11" x14ac:dyDescent="0.35">
      <c r="B29" s="165" t="s">
        <v>59</v>
      </c>
      <c r="C29" s="11">
        <v>16070</v>
      </c>
      <c r="D29" s="11">
        <v>16603</v>
      </c>
      <c r="E29" s="122" t="s">
        <v>22</v>
      </c>
      <c r="F29" s="123">
        <v>16973</v>
      </c>
      <c r="G29" s="123">
        <v>17578</v>
      </c>
      <c r="H29" s="122"/>
      <c r="I29" s="123">
        <v>17078.206184999999</v>
      </c>
      <c r="J29" s="123">
        <v>17969.566365000002</v>
      </c>
      <c r="K29" s="122"/>
    </row>
    <row r="30" spans="2:11" x14ac:dyDescent="0.35">
      <c r="B30" s="165" t="s">
        <v>60</v>
      </c>
      <c r="C30" s="11">
        <v>2891</v>
      </c>
      <c r="D30" s="11">
        <v>10375</v>
      </c>
      <c r="E30" s="122" t="s">
        <v>22</v>
      </c>
      <c r="F30" s="123">
        <v>2617</v>
      </c>
      <c r="G30" s="123">
        <v>10294</v>
      </c>
      <c r="H30" s="122"/>
      <c r="I30" s="123">
        <v>2384.2221560000003</v>
      </c>
      <c r="J30" s="123">
        <v>9297.7685100000017</v>
      </c>
      <c r="K30" s="122"/>
    </row>
    <row r="31" spans="2:11" x14ac:dyDescent="0.35">
      <c r="B31" s="165" t="s">
        <v>61</v>
      </c>
      <c r="C31" s="11">
        <v>45182</v>
      </c>
      <c r="D31" s="11">
        <v>49655</v>
      </c>
      <c r="E31" s="122" t="s">
        <v>22</v>
      </c>
      <c r="F31" s="123">
        <v>38833</v>
      </c>
      <c r="G31" s="123">
        <v>54679</v>
      </c>
      <c r="H31" s="122"/>
      <c r="I31" s="123">
        <v>40089.650074036916</v>
      </c>
      <c r="J31" s="123">
        <v>59052.873823806258</v>
      </c>
      <c r="K31" s="122"/>
    </row>
    <row r="32" spans="2:11" x14ac:dyDescent="0.35">
      <c r="B32" s="165" t="s">
        <v>62</v>
      </c>
      <c r="C32" s="11">
        <v>90657</v>
      </c>
      <c r="D32" s="11">
        <v>83212</v>
      </c>
      <c r="E32" s="124">
        <v>4235</v>
      </c>
      <c r="F32" s="123">
        <v>88708</v>
      </c>
      <c r="G32" s="123">
        <v>86580</v>
      </c>
      <c r="H32" s="124">
        <v>4429</v>
      </c>
      <c r="I32" s="123">
        <v>78583.048972100019</v>
      </c>
      <c r="J32" s="123">
        <v>81044.502228100013</v>
      </c>
      <c r="K32" s="124">
        <v>4538.8917254521584</v>
      </c>
    </row>
    <row r="33" spans="2:11" x14ac:dyDescent="0.35">
      <c r="B33" s="165" t="s">
        <v>63</v>
      </c>
      <c r="C33" s="11">
        <v>55583</v>
      </c>
      <c r="D33" s="11">
        <v>48205</v>
      </c>
      <c r="E33" s="124">
        <v>10540</v>
      </c>
      <c r="F33" s="123">
        <v>53957</v>
      </c>
      <c r="G33" s="123">
        <v>41716</v>
      </c>
      <c r="H33" s="124">
        <v>8846</v>
      </c>
      <c r="I33" s="123">
        <v>54465.288298400003</v>
      </c>
      <c r="J33" s="123">
        <v>45927.789935700013</v>
      </c>
      <c r="K33" s="124">
        <v>10389.221365135443</v>
      </c>
    </row>
    <row r="34" spans="2:11" x14ac:dyDescent="0.35">
      <c r="B34" s="165" t="s">
        <v>171</v>
      </c>
      <c r="C34" s="11">
        <v>13371</v>
      </c>
      <c r="D34" s="11">
        <v>13621</v>
      </c>
      <c r="E34" s="122" t="s">
        <v>22</v>
      </c>
      <c r="F34" s="123">
        <v>13482</v>
      </c>
      <c r="G34" s="123">
        <v>15334</v>
      </c>
      <c r="H34" s="122"/>
      <c r="I34" s="123">
        <v>12951.116875</v>
      </c>
      <c r="J34" s="123">
        <v>15839.394591099997</v>
      </c>
      <c r="K34" s="124"/>
    </row>
    <row r="35" spans="2:11" x14ac:dyDescent="0.35">
      <c r="B35" s="165" t="s">
        <v>90</v>
      </c>
      <c r="C35" s="11">
        <v>107411</v>
      </c>
      <c r="D35" s="11">
        <v>88361</v>
      </c>
      <c r="E35" s="122" t="s">
        <v>22</v>
      </c>
      <c r="F35" s="123">
        <v>109985</v>
      </c>
      <c r="G35" s="123">
        <v>92501</v>
      </c>
      <c r="H35" s="122"/>
      <c r="I35" s="123">
        <v>109994.24695978321</v>
      </c>
      <c r="J35" s="123">
        <v>93802.849531023065</v>
      </c>
      <c r="K35" s="124"/>
    </row>
    <row r="36" spans="2:11" x14ac:dyDescent="0.35">
      <c r="B36" s="165" t="s">
        <v>64</v>
      </c>
      <c r="C36" s="11">
        <v>39234</v>
      </c>
      <c r="D36" s="11">
        <v>28294</v>
      </c>
      <c r="E36" s="122" t="s">
        <v>22</v>
      </c>
      <c r="F36" s="123">
        <v>40365</v>
      </c>
      <c r="G36" s="123">
        <v>30323</v>
      </c>
      <c r="H36" s="122"/>
      <c r="I36" s="123">
        <v>41198.320260606</v>
      </c>
      <c r="J36" s="123">
        <v>30603.601951895598</v>
      </c>
      <c r="K36" s="124"/>
    </row>
    <row r="37" spans="2:11" x14ac:dyDescent="0.35">
      <c r="B37" s="165" t="s">
        <v>65</v>
      </c>
      <c r="C37" s="11">
        <v>15459</v>
      </c>
      <c r="D37" s="11">
        <v>13068</v>
      </c>
      <c r="E37" s="122" t="s">
        <v>22</v>
      </c>
      <c r="F37" s="123">
        <v>15503</v>
      </c>
      <c r="G37" s="123">
        <v>13442</v>
      </c>
      <c r="H37" s="122"/>
      <c r="I37" s="123">
        <v>15454.714479346429</v>
      </c>
      <c r="J37" s="123">
        <v>13745.82378860509</v>
      </c>
      <c r="K37" s="124"/>
    </row>
    <row r="38" spans="2:11" x14ac:dyDescent="0.35">
      <c r="B38" s="165" t="s">
        <v>66</v>
      </c>
      <c r="C38" s="11">
        <v>52718</v>
      </c>
      <c r="D38" s="11">
        <v>46998</v>
      </c>
      <c r="E38" s="122" t="s">
        <v>22</v>
      </c>
      <c r="F38" s="123">
        <v>54118</v>
      </c>
      <c r="G38" s="123">
        <v>48737</v>
      </c>
      <c r="H38" s="122"/>
      <c r="I38" s="123">
        <v>53341.212219830777</v>
      </c>
      <c r="J38" s="123">
        <v>49453.423790522378</v>
      </c>
      <c r="K38" s="124"/>
    </row>
    <row r="39" spans="2:11" x14ac:dyDescent="0.35">
      <c r="B39" s="165" t="s">
        <v>82</v>
      </c>
      <c r="C39" s="11">
        <v>312160</v>
      </c>
      <c r="D39" s="11">
        <v>309410</v>
      </c>
      <c r="E39" s="124">
        <v>3476</v>
      </c>
      <c r="F39" s="123">
        <v>328961</v>
      </c>
      <c r="G39" s="123">
        <v>328858</v>
      </c>
      <c r="H39" s="124">
        <v>2892</v>
      </c>
      <c r="I39" s="123">
        <v>327090.20044300007</v>
      </c>
      <c r="J39" s="123">
        <v>334987.58792900003</v>
      </c>
      <c r="K39" s="124">
        <v>3136.1907861493182</v>
      </c>
    </row>
    <row r="40" spans="2:11" x14ac:dyDescent="0.35">
      <c r="B40" s="165" t="s">
        <v>68</v>
      </c>
      <c r="C40" s="11">
        <v>10472</v>
      </c>
      <c r="D40" s="11">
        <v>8383</v>
      </c>
      <c r="E40" s="122">
        <v>459</v>
      </c>
      <c r="F40" s="123">
        <v>10244</v>
      </c>
      <c r="G40" s="123">
        <v>8245</v>
      </c>
      <c r="H40" s="122">
        <v>527</v>
      </c>
      <c r="I40" s="123">
        <v>9880.4958956999999</v>
      </c>
      <c r="J40" s="123">
        <v>8087.011749700001</v>
      </c>
      <c r="K40" s="124">
        <v>589.5169369434584</v>
      </c>
    </row>
    <row r="41" spans="2:11" x14ac:dyDescent="0.35">
      <c r="B41" s="165" t="s">
        <v>69</v>
      </c>
      <c r="C41" s="11">
        <v>11191</v>
      </c>
      <c r="D41" s="11">
        <v>17745</v>
      </c>
      <c r="E41" s="122" t="s">
        <v>22</v>
      </c>
      <c r="F41" s="123">
        <v>9563</v>
      </c>
      <c r="G41" s="123">
        <v>21086</v>
      </c>
      <c r="H41" s="122"/>
      <c r="I41" s="123">
        <v>10831.5639923</v>
      </c>
      <c r="J41" s="123">
        <v>17804.105361000002</v>
      </c>
      <c r="K41" s="124">
        <v>20.874112224066387</v>
      </c>
    </row>
    <row r="42" spans="2:11" x14ac:dyDescent="0.35">
      <c r="B42" s="165" t="s">
        <v>70</v>
      </c>
      <c r="C42" s="11">
        <v>29701</v>
      </c>
      <c r="D42" s="11">
        <v>40231</v>
      </c>
      <c r="E42" s="122">
        <v>759</v>
      </c>
      <c r="F42" s="123">
        <v>31513</v>
      </c>
      <c r="G42" s="123">
        <v>39999</v>
      </c>
      <c r="H42" s="122">
        <v>576</v>
      </c>
      <c r="I42" s="123">
        <v>29361.067072399997</v>
      </c>
      <c r="J42" s="123">
        <v>38151.165695600008</v>
      </c>
      <c r="K42" s="124">
        <v>642.66877907935771</v>
      </c>
    </row>
    <row r="43" spans="2:11" x14ac:dyDescent="0.35">
      <c r="B43" s="165" t="s">
        <v>76</v>
      </c>
      <c r="C43" s="11">
        <v>16382</v>
      </c>
      <c r="D43" s="11">
        <v>17854</v>
      </c>
      <c r="E43" s="124">
        <v>5233</v>
      </c>
      <c r="F43" s="123">
        <v>18322</v>
      </c>
      <c r="G43" s="123">
        <v>19842</v>
      </c>
      <c r="H43" s="124">
        <v>5738</v>
      </c>
      <c r="I43" s="123">
        <v>19814.5315586</v>
      </c>
      <c r="J43" s="123">
        <v>19674.250847799995</v>
      </c>
      <c r="K43" s="124">
        <v>5796.0479312655561</v>
      </c>
    </row>
    <row r="44" spans="2:11" ht="15" thickBot="1" x14ac:dyDescent="0.4">
      <c r="B44" s="165" t="s">
        <v>77</v>
      </c>
      <c r="C44" s="11">
        <v>3579</v>
      </c>
      <c r="D44" s="11">
        <v>4625</v>
      </c>
      <c r="E44" s="122" t="s">
        <v>22</v>
      </c>
      <c r="F44" s="123">
        <v>5378</v>
      </c>
      <c r="G44" s="123">
        <v>5346</v>
      </c>
      <c r="H44" s="122"/>
      <c r="I44" s="123">
        <v>5704.5257243786937</v>
      </c>
      <c r="J44" s="123">
        <v>5572.4194327250152</v>
      </c>
      <c r="K44" s="122"/>
    </row>
    <row r="45" spans="2:11" ht="15" thickBot="1" x14ac:dyDescent="0.4">
      <c r="B45" s="197" t="s">
        <v>150</v>
      </c>
      <c r="C45" s="198"/>
      <c r="D45" s="198"/>
      <c r="E45" s="198"/>
      <c r="F45" s="198"/>
      <c r="G45" s="198"/>
      <c r="H45" s="198"/>
      <c r="I45" s="198"/>
      <c r="J45" s="198"/>
      <c r="K45" s="199"/>
    </row>
    <row r="46" spans="2:11" x14ac:dyDescent="0.35">
      <c r="B46" s="121" t="s">
        <v>57</v>
      </c>
      <c r="C46" s="11">
        <v>390879</v>
      </c>
      <c r="D46" s="11">
        <v>117613</v>
      </c>
      <c r="E46" s="122" t="s">
        <v>22</v>
      </c>
      <c r="F46" s="11">
        <v>507985</v>
      </c>
      <c r="G46" s="11">
        <v>119101</v>
      </c>
      <c r="H46" s="122"/>
      <c r="I46" s="123">
        <v>481245.77405291388</v>
      </c>
      <c r="J46" s="123">
        <v>117710.62025771625</v>
      </c>
      <c r="K46" s="122"/>
    </row>
    <row r="47" spans="2:11" x14ac:dyDescent="0.35">
      <c r="B47" s="121" t="s">
        <v>58</v>
      </c>
      <c r="C47" s="11">
        <v>46296</v>
      </c>
      <c r="D47" s="11">
        <v>139425</v>
      </c>
      <c r="E47" s="122" t="s">
        <v>22</v>
      </c>
      <c r="F47" s="11">
        <v>47452</v>
      </c>
      <c r="G47" s="11">
        <v>140314</v>
      </c>
      <c r="H47" s="122"/>
      <c r="I47" s="123">
        <v>54993.730308530263</v>
      </c>
      <c r="J47" s="123">
        <v>125655.5902792073</v>
      </c>
      <c r="K47" s="122"/>
    </row>
    <row r="48" spans="2:11" x14ac:dyDescent="0.35">
      <c r="B48" s="121" t="s">
        <v>59</v>
      </c>
      <c r="C48" s="11">
        <v>63688</v>
      </c>
      <c r="D48" s="11">
        <v>69940</v>
      </c>
      <c r="E48" s="122" t="s">
        <v>22</v>
      </c>
      <c r="F48" s="11">
        <v>69098</v>
      </c>
      <c r="G48" s="11">
        <v>72834</v>
      </c>
      <c r="H48" s="122"/>
      <c r="I48" s="123">
        <v>69680.079985744436</v>
      </c>
      <c r="J48" s="123">
        <v>72976.073822341845</v>
      </c>
      <c r="K48" s="122"/>
    </row>
    <row r="49" spans="2:11" x14ac:dyDescent="0.35">
      <c r="B49" s="121" t="s">
        <v>60</v>
      </c>
      <c r="C49" s="11">
        <v>3527</v>
      </c>
      <c r="D49" s="11">
        <v>13129</v>
      </c>
      <c r="E49" s="122" t="s">
        <v>22</v>
      </c>
      <c r="F49" s="11">
        <v>3371</v>
      </c>
      <c r="G49" s="11">
        <v>13045</v>
      </c>
      <c r="H49" s="122"/>
      <c r="I49" s="123">
        <v>3143.615430223661</v>
      </c>
      <c r="J49" s="123">
        <v>11667.103148314591</v>
      </c>
      <c r="K49" s="122"/>
    </row>
    <row r="50" spans="2:11" x14ac:dyDescent="0.35">
      <c r="B50" s="121" t="s">
        <v>61</v>
      </c>
      <c r="C50" s="11">
        <v>608693</v>
      </c>
      <c r="D50" s="11">
        <v>736686</v>
      </c>
      <c r="E50" s="122" t="s">
        <v>22</v>
      </c>
      <c r="F50" s="11">
        <v>518044</v>
      </c>
      <c r="G50" s="11">
        <v>783294</v>
      </c>
      <c r="H50" s="122"/>
      <c r="I50" s="123">
        <v>542874.09918011888</v>
      </c>
      <c r="J50" s="123">
        <v>852541.23603274173</v>
      </c>
      <c r="K50" s="122"/>
    </row>
    <row r="51" spans="2:11" x14ac:dyDescent="0.35">
      <c r="B51" s="121" t="s">
        <v>62</v>
      </c>
      <c r="C51" s="11">
        <v>667598</v>
      </c>
      <c r="D51" s="11">
        <v>620185</v>
      </c>
      <c r="E51" s="124">
        <v>24595</v>
      </c>
      <c r="F51" s="11">
        <v>692945</v>
      </c>
      <c r="G51" s="11">
        <v>666814</v>
      </c>
      <c r="H51" s="124">
        <v>38293</v>
      </c>
      <c r="I51" s="123">
        <v>656320.40820287587</v>
      </c>
      <c r="J51" s="123">
        <v>652515.12986675918</v>
      </c>
      <c r="K51" s="124">
        <v>41288.652016827022</v>
      </c>
    </row>
    <row r="52" spans="2:11" x14ac:dyDescent="0.35">
      <c r="B52" s="121" t="s">
        <v>63</v>
      </c>
      <c r="C52" s="11">
        <v>454355</v>
      </c>
      <c r="D52" s="11">
        <v>326677</v>
      </c>
      <c r="E52" s="124">
        <v>83981</v>
      </c>
      <c r="F52" s="11">
        <v>460830</v>
      </c>
      <c r="G52" s="11">
        <v>285596</v>
      </c>
      <c r="H52" s="124">
        <v>80929</v>
      </c>
      <c r="I52" s="123">
        <v>475784.9758518617</v>
      </c>
      <c r="J52" s="123">
        <v>314092.53794686176</v>
      </c>
      <c r="K52" s="124">
        <v>94892.236447812349</v>
      </c>
    </row>
    <row r="53" spans="2:11" x14ac:dyDescent="0.35">
      <c r="B53" s="121" t="s">
        <v>171</v>
      </c>
      <c r="C53" s="11">
        <v>85259</v>
      </c>
      <c r="D53" s="11">
        <v>106665</v>
      </c>
      <c r="E53" s="122" t="s">
        <v>22</v>
      </c>
      <c r="F53" s="11">
        <v>91306</v>
      </c>
      <c r="G53" s="11">
        <v>112370</v>
      </c>
      <c r="H53" s="122"/>
      <c r="I53" s="123">
        <v>82306.847805450438</v>
      </c>
      <c r="J53" s="123">
        <v>117940.68364047109</v>
      </c>
      <c r="K53" s="124"/>
    </row>
    <row r="54" spans="2:11" x14ac:dyDescent="0.35">
      <c r="B54" s="121" t="s">
        <v>90</v>
      </c>
      <c r="C54" s="11">
        <v>1219408</v>
      </c>
      <c r="D54" s="11">
        <v>1089377</v>
      </c>
      <c r="E54" s="122" t="s">
        <v>22</v>
      </c>
      <c r="F54" s="11">
        <v>1294683</v>
      </c>
      <c r="G54" s="11">
        <v>1142552</v>
      </c>
      <c r="H54" s="122"/>
      <c r="I54" s="123">
        <v>1278234.2407642941</v>
      </c>
      <c r="J54" s="123">
        <v>1166246.6799280932</v>
      </c>
      <c r="K54" s="124"/>
    </row>
    <row r="55" spans="2:11" x14ac:dyDescent="0.35">
      <c r="B55" s="121" t="s">
        <v>64</v>
      </c>
      <c r="C55" s="11">
        <v>555973</v>
      </c>
      <c r="D55" s="11">
        <v>493865</v>
      </c>
      <c r="E55" s="122" t="s">
        <v>22</v>
      </c>
      <c r="F55" s="11">
        <v>587981</v>
      </c>
      <c r="G55" s="11">
        <v>515798</v>
      </c>
      <c r="H55" s="122"/>
      <c r="I55" s="123">
        <v>590252.01618293405</v>
      </c>
      <c r="J55" s="123">
        <v>527108.88546275476</v>
      </c>
      <c r="K55" s="124"/>
    </row>
    <row r="56" spans="2:11" x14ac:dyDescent="0.35">
      <c r="B56" s="121" t="s">
        <v>65</v>
      </c>
      <c r="C56" s="11">
        <v>129371</v>
      </c>
      <c r="D56" s="11">
        <v>149266</v>
      </c>
      <c r="E56" s="122" t="s">
        <v>22</v>
      </c>
      <c r="F56" s="11">
        <v>133317</v>
      </c>
      <c r="G56" s="11">
        <v>152891</v>
      </c>
      <c r="H56" s="122"/>
      <c r="I56" s="123">
        <v>125013.98400103828</v>
      </c>
      <c r="J56" s="123">
        <v>154315.48866381534</v>
      </c>
      <c r="K56" s="124"/>
    </row>
    <row r="57" spans="2:11" x14ac:dyDescent="0.35">
      <c r="B57" s="121" t="s">
        <v>66</v>
      </c>
      <c r="C57" s="11">
        <v>534065</v>
      </c>
      <c r="D57" s="11">
        <v>446246</v>
      </c>
      <c r="E57" s="122" t="s">
        <v>22</v>
      </c>
      <c r="F57" s="11">
        <v>573386</v>
      </c>
      <c r="G57" s="11">
        <v>473863</v>
      </c>
      <c r="H57" s="122"/>
      <c r="I57" s="123">
        <v>562968.24058032187</v>
      </c>
      <c r="J57" s="123">
        <v>484822.30580152321</v>
      </c>
      <c r="K57" s="124"/>
    </row>
    <row r="58" spans="2:11" x14ac:dyDescent="0.35">
      <c r="B58" s="121" t="s">
        <v>82</v>
      </c>
      <c r="C58" s="11">
        <v>197212</v>
      </c>
      <c r="D58" s="11">
        <v>244194</v>
      </c>
      <c r="E58" s="124">
        <v>3485</v>
      </c>
      <c r="F58" s="11">
        <v>233142</v>
      </c>
      <c r="G58" s="11">
        <v>242239</v>
      </c>
      <c r="H58" s="124">
        <v>3046</v>
      </c>
      <c r="I58" s="123">
        <v>230456.08919149387</v>
      </c>
      <c r="J58" s="123">
        <v>240720.6245832633</v>
      </c>
      <c r="K58" s="124">
        <v>3178.0037303633426</v>
      </c>
    </row>
    <row r="59" spans="2:11" x14ac:dyDescent="0.35">
      <c r="B59" s="121" t="s">
        <v>68</v>
      </c>
      <c r="C59" s="11">
        <v>6834</v>
      </c>
      <c r="D59" s="11">
        <v>4822</v>
      </c>
      <c r="E59" s="122">
        <v>461</v>
      </c>
      <c r="F59" s="11">
        <v>7042</v>
      </c>
      <c r="G59" s="11">
        <v>4628</v>
      </c>
      <c r="H59" s="122">
        <v>549</v>
      </c>
      <c r="I59" s="123">
        <v>5983.6828463817928</v>
      </c>
      <c r="J59" s="123">
        <v>4585.8011908941671</v>
      </c>
      <c r="K59" s="124">
        <v>569.14999690405011</v>
      </c>
    </row>
    <row r="60" spans="2:11" x14ac:dyDescent="0.35">
      <c r="B60" s="121" t="s">
        <v>69</v>
      </c>
      <c r="C60" s="11">
        <v>4687</v>
      </c>
      <c r="D60" s="11">
        <v>8509</v>
      </c>
      <c r="E60" s="122" t="s">
        <v>22</v>
      </c>
      <c r="F60" s="11">
        <v>5328</v>
      </c>
      <c r="G60" s="11">
        <v>9062</v>
      </c>
      <c r="H60" s="122"/>
      <c r="I60" s="123">
        <v>4677.6243598709671</v>
      </c>
      <c r="J60" s="123">
        <v>7746.5272460429633</v>
      </c>
      <c r="K60" s="124">
        <v>8.8047538827087077</v>
      </c>
    </row>
    <row r="61" spans="2:11" x14ac:dyDescent="0.35">
      <c r="B61" s="121" t="s">
        <v>70</v>
      </c>
      <c r="C61" s="11">
        <v>11771</v>
      </c>
      <c r="D61" s="11">
        <v>17288</v>
      </c>
      <c r="E61" s="122">
        <v>563</v>
      </c>
      <c r="F61" s="11">
        <v>19171</v>
      </c>
      <c r="G61" s="11">
        <v>17051</v>
      </c>
      <c r="H61" s="122">
        <v>483</v>
      </c>
      <c r="I61" s="123">
        <v>15656.676359706991</v>
      </c>
      <c r="J61" s="123">
        <v>16388.394188117261</v>
      </c>
      <c r="K61" s="124">
        <v>507.42344646806094</v>
      </c>
    </row>
    <row r="62" spans="2:11" x14ac:dyDescent="0.35">
      <c r="B62" s="121" t="s">
        <v>76</v>
      </c>
      <c r="C62" s="11">
        <v>132699</v>
      </c>
      <c r="D62" s="11">
        <v>171530</v>
      </c>
      <c r="E62" s="124">
        <v>73504</v>
      </c>
      <c r="F62" s="11">
        <v>145933</v>
      </c>
      <c r="G62" s="11">
        <v>177549</v>
      </c>
      <c r="H62" s="124">
        <v>65980</v>
      </c>
      <c r="I62" s="123">
        <v>149806.21213939041</v>
      </c>
      <c r="J62" s="123">
        <v>181271.58421383865</v>
      </c>
      <c r="K62" s="124">
        <v>67626.298474359384</v>
      </c>
    </row>
    <row r="63" spans="2:11" ht="15" thickBot="1" x14ac:dyDescent="0.4">
      <c r="B63" s="121" t="s">
        <v>77</v>
      </c>
      <c r="C63" s="127">
        <v>22556</v>
      </c>
      <c r="D63" s="127">
        <v>26084</v>
      </c>
      <c r="E63" s="128" t="s">
        <v>22</v>
      </c>
      <c r="F63" s="127">
        <v>25250</v>
      </c>
      <c r="G63" s="127">
        <v>27219</v>
      </c>
      <c r="H63" s="128"/>
      <c r="I63" s="127">
        <v>28440.310979665839</v>
      </c>
      <c r="J63" s="127">
        <v>29797.722733750699</v>
      </c>
      <c r="K63" s="128"/>
    </row>
    <row r="64" spans="2:11" ht="15" thickBot="1" x14ac:dyDescent="0.4">
      <c r="B64" s="200" t="s">
        <v>151</v>
      </c>
      <c r="C64" s="201"/>
      <c r="D64" s="201"/>
      <c r="E64" s="201"/>
      <c r="F64" s="201"/>
      <c r="G64" s="201"/>
      <c r="H64" s="201"/>
      <c r="I64" s="201"/>
      <c r="J64" s="201"/>
      <c r="K64" s="202"/>
    </row>
    <row r="65" spans="2:12" x14ac:dyDescent="0.35">
      <c r="B65" s="121" t="s">
        <v>57</v>
      </c>
      <c r="C65" s="13">
        <v>1.7</v>
      </c>
      <c r="D65" s="13">
        <v>1.3</v>
      </c>
      <c r="E65" s="122" t="s">
        <v>22</v>
      </c>
      <c r="F65" s="13">
        <v>2</v>
      </c>
      <c r="G65" s="13">
        <v>1.3</v>
      </c>
      <c r="H65" s="122"/>
      <c r="I65" s="136">
        <v>1.9850146084239264</v>
      </c>
      <c r="J65" s="123">
        <v>1.265993762950008</v>
      </c>
      <c r="K65" s="122"/>
      <c r="L65" s="137"/>
    </row>
    <row r="66" spans="2:12" x14ac:dyDescent="0.35">
      <c r="B66" s="121" t="s">
        <v>58</v>
      </c>
      <c r="C66" s="13">
        <v>1.2</v>
      </c>
      <c r="D66" s="13">
        <v>1.2</v>
      </c>
      <c r="E66" s="122" t="s">
        <v>22</v>
      </c>
      <c r="F66" s="13">
        <v>1.4</v>
      </c>
      <c r="G66" s="13">
        <v>1.2</v>
      </c>
      <c r="H66" s="122"/>
      <c r="I66" s="136">
        <v>1.364691188000086</v>
      </c>
      <c r="J66" s="123">
        <v>1.1722133818045692</v>
      </c>
      <c r="K66" s="122"/>
      <c r="L66" s="137"/>
    </row>
    <row r="67" spans="2:12" x14ac:dyDescent="0.35">
      <c r="B67" s="121" t="s">
        <v>59</v>
      </c>
      <c r="C67" s="13">
        <v>4</v>
      </c>
      <c r="D67" s="13">
        <v>4.2</v>
      </c>
      <c r="E67" s="122" t="s">
        <v>22</v>
      </c>
      <c r="F67" s="13">
        <v>4.0999999999999996</v>
      </c>
      <c r="G67" s="13">
        <v>4.0999999999999996</v>
      </c>
      <c r="H67" s="122"/>
      <c r="I67" s="136">
        <v>4.0800584810215792</v>
      </c>
      <c r="J67" s="123">
        <v>4.0610926463133845</v>
      </c>
      <c r="K67" s="122"/>
      <c r="L67" s="137"/>
    </row>
    <row r="68" spans="2:12" x14ac:dyDescent="0.35">
      <c r="B68" s="121" t="s">
        <v>60</v>
      </c>
      <c r="C68" s="13">
        <v>1.2</v>
      </c>
      <c r="D68" s="13">
        <v>1.3</v>
      </c>
      <c r="E68" s="122" t="s">
        <v>22</v>
      </c>
      <c r="F68" s="13">
        <v>1.3</v>
      </c>
      <c r="G68" s="13">
        <v>1.3</v>
      </c>
      <c r="H68" s="122"/>
      <c r="I68" s="136">
        <v>1.3185077666997658</v>
      </c>
      <c r="J68" s="123">
        <v>1.2548283102301703</v>
      </c>
      <c r="K68" s="122"/>
      <c r="L68" s="137"/>
    </row>
    <row r="69" spans="2:12" x14ac:dyDescent="0.35">
      <c r="B69" s="121" t="s">
        <v>61</v>
      </c>
      <c r="C69" s="13">
        <v>13.5</v>
      </c>
      <c r="D69" s="13">
        <v>14.8</v>
      </c>
      <c r="E69" s="122" t="s">
        <v>22</v>
      </c>
      <c r="F69" s="13">
        <v>13.3</v>
      </c>
      <c r="G69" s="13">
        <v>14.3</v>
      </c>
      <c r="H69" s="122"/>
      <c r="I69" s="136">
        <v>13.541502561822011</v>
      </c>
      <c r="J69" s="123">
        <v>14.436913579793519</v>
      </c>
      <c r="K69" s="122"/>
      <c r="L69" s="137"/>
    </row>
    <row r="70" spans="2:12" x14ac:dyDescent="0.35">
      <c r="B70" s="121" t="s">
        <v>62</v>
      </c>
      <c r="C70" s="13">
        <v>7.4</v>
      </c>
      <c r="D70" s="13">
        <v>7.5</v>
      </c>
      <c r="E70" s="122">
        <v>5.8</v>
      </c>
      <c r="F70" s="13">
        <v>7.8</v>
      </c>
      <c r="G70" s="13">
        <v>7.7</v>
      </c>
      <c r="H70" s="122">
        <v>8.6</v>
      </c>
      <c r="I70" s="136">
        <v>8.3519336140278124</v>
      </c>
      <c r="J70" s="123">
        <v>8.051318867136148</v>
      </c>
      <c r="K70" s="122">
        <v>9.1</v>
      </c>
      <c r="L70" s="137"/>
    </row>
    <row r="71" spans="2:12" x14ac:dyDescent="0.35">
      <c r="B71" s="121" t="s">
        <v>63</v>
      </c>
      <c r="C71" s="13">
        <v>8.1999999999999993</v>
      </c>
      <c r="D71" s="13">
        <v>6.8</v>
      </c>
      <c r="E71" s="122">
        <v>8</v>
      </c>
      <c r="F71" s="13">
        <v>8.5</v>
      </c>
      <c r="G71" s="13">
        <v>6.8</v>
      </c>
      <c r="H71" s="122">
        <v>9.1</v>
      </c>
      <c r="I71" s="136">
        <v>8.7355633416492644</v>
      </c>
      <c r="J71" s="123">
        <v>6.8388341434804225</v>
      </c>
      <c r="K71" s="122">
        <v>9.1</v>
      </c>
      <c r="L71" s="137"/>
    </row>
    <row r="72" spans="2:12" x14ac:dyDescent="0.35">
      <c r="B72" s="121" t="s">
        <v>171</v>
      </c>
      <c r="C72" s="13">
        <v>6.4</v>
      </c>
      <c r="D72" s="13">
        <v>7.8</v>
      </c>
      <c r="E72" s="122" t="s">
        <v>22</v>
      </c>
      <c r="F72" s="13">
        <v>6.8</v>
      </c>
      <c r="G72" s="13">
        <v>7.3</v>
      </c>
      <c r="H72" s="122"/>
      <c r="I72" s="136">
        <v>6.3551930385502322</v>
      </c>
      <c r="J72" s="123">
        <v>7.4460348192058312</v>
      </c>
      <c r="K72" s="122"/>
      <c r="L72" s="137"/>
    </row>
    <row r="73" spans="2:12" x14ac:dyDescent="0.35">
      <c r="B73" s="121" t="s">
        <v>90</v>
      </c>
      <c r="C73" s="13">
        <v>11.4</v>
      </c>
      <c r="D73" s="13">
        <v>12.3</v>
      </c>
      <c r="E73" s="122" t="s">
        <v>22</v>
      </c>
      <c r="F73" s="13">
        <v>11.8</v>
      </c>
      <c r="G73" s="13">
        <v>12.4</v>
      </c>
      <c r="H73" s="122"/>
      <c r="I73" s="136">
        <v>11.620919057990825</v>
      </c>
      <c r="J73" s="123">
        <v>12.432955776491468</v>
      </c>
      <c r="K73" s="122"/>
    </row>
    <row r="74" spans="2:12" x14ac:dyDescent="0.35">
      <c r="B74" s="121" t="s">
        <v>64</v>
      </c>
      <c r="C74" s="13">
        <v>14.2</v>
      </c>
      <c r="D74" s="13">
        <v>17.5</v>
      </c>
      <c r="E74" s="122" t="s">
        <v>22</v>
      </c>
      <c r="F74" s="13">
        <v>14.6</v>
      </c>
      <c r="G74" s="13">
        <v>17</v>
      </c>
      <c r="H74" s="122"/>
      <c r="I74" s="136">
        <v>14.327089367945309</v>
      </c>
      <c r="J74" s="123">
        <v>17.223753148119396</v>
      </c>
      <c r="K74" s="122"/>
    </row>
    <row r="75" spans="2:12" x14ac:dyDescent="0.35">
      <c r="B75" s="121" t="s">
        <v>65</v>
      </c>
      <c r="C75" s="13">
        <v>8.4</v>
      </c>
      <c r="D75" s="13">
        <v>11.4</v>
      </c>
      <c r="E75" s="122" t="s">
        <v>22</v>
      </c>
      <c r="F75" s="13">
        <v>8.6</v>
      </c>
      <c r="G75" s="13">
        <v>11.4</v>
      </c>
      <c r="H75" s="122"/>
      <c r="I75" s="136">
        <v>8.0890516721034267</v>
      </c>
      <c r="J75" s="123">
        <v>11.226354348565026</v>
      </c>
      <c r="K75" s="122"/>
    </row>
    <row r="76" spans="2:12" x14ac:dyDescent="0.35">
      <c r="B76" s="121" t="s">
        <v>66</v>
      </c>
      <c r="C76" s="13">
        <v>10.1</v>
      </c>
      <c r="D76" s="13">
        <v>9.5</v>
      </c>
      <c r="E76" s="122" t="s">
        <v>22</v>
      </c>
      <c r="F76" s="13">
        <v>10.6</v>
      </c>
      <c r="G76" s="13">
        <v>9.6999999999999993</v>
      </c>
      <c r="H76" s="122"/>
      <c r="I76" s="136">
        <v>10.554095363641284</v>
      </c>
      <c r="J76" s="123">
        <v>9.8036145658015723</v>
      </c>
      <c r="K76" s="122"/>
    </row>
    <row r="77" spans="2:12" x14ac:dyDescent="0.35">
      <c r="B77" s="121" t="s">
        <v>82</v>
      </c>
      <c r="C77" s="13">
        <v>0.6</v>
      </c>
      <c r="D77" s="13">
        <v>0.8</v>
      </c>
      <c r="E77" s="122">
        <v>1</v>
      </c>
      <c r="F77" s="13">
        <v>0.7</v>
      </c>
      <c r="G77" s="13">
        <v>0.7</v>
      </c>
      <c r="H77" s="122">
        <v>1.1000000000000001</v>
      </c>
      <c r="I77" s="136">
        <v>0.70456433387295558</v>
      </c>
      <c r="J77" s="123">
        <v>0.71859565326427433</v>
      </c>
      <c r="K77" s="94">
        <v>1</v>
      </c>
    </row>
    <row r="78" spans="2:12" x14ac:dyDescent="0.35">
      <c r="B78" s="121" t="s">
        <v>68</v>
      </c>
      <c r="C78" s="13">
        <v>0.7</v>
      </c>
      <c r="D78" s="13">
        <v>0.6</v>
      </c>
      <c r="E78" s="122">
        <v>1</v>
      </c>
      <c r="F78" s="13">
        <v>0.7</v>
      </c>
      <c r="G78" s="13">
        <v>0.6</v>
      </c>
      <c r="H78" s="122">
        <v>1</v>
      </c>
      <c r="I78" s="136">
        <v>0.60560551915070338</v>
      </c>
      <c r="J78" s="123">
        <v>0.56705756499788484</v>
      </c>
      <c r="K78" s="94">
        <v>1</v>
      </c>
    </row>
    <row r="79" spans="2:12" x14ac:dyDescent="0.35">
      <c r="B79" s="121" t="s">
        <v>69</v>
      </c>
      <c r="C79" s="13">
        <v>0.4</v>
      </c>
      <c r="D79" s="13">
        <v>0.5</v>
      </c>
      <c r="E79" s="122" t="s">
        <v>22</v>
      </c>
      <c r="F79" s="13">
        <v>0.6</v>
      </c>
      <c r="G79" s="13">
        <v>0.4</v>
      </c>
      <c r="H79" s="122"/>
      <c r="I79" s="136">
        <v>0.43185124172245315</v>
      </c>
      <c r="J79" s="123">
        <v>0.43509780968898204</v>
      </c>
      <c r="K79" s="122">
        <v>0.4</v>
      </c>
    </row>
    <row r="80" spans="2:12" x14ac:dyDescent="0.35">
      <c r="B80" s="121" t="s">
        <v>70</v>
      </c>
      <c r="C80" s="13">
        <v>0.4</v>
      </c>
      <c r="D80" s="13">
        <v>0.4</v>
      </c>
      <c r="E80" s="122">
        <v>0.7</v>
      </c>
      <c r="F80" s="13">
        <v>0.6</v>
      </c>
      <c r="G80" s="13">
        <v>0.4</v>
      </c>
      <c r="H80" s="122">
        <v>0.8</v>
      </c>
      <c r="I80" s="136">
        <v>0.53324616306008121</v>
      </c>
      <c r="J80" s="123">
        <v>0.42956470370726685</v>
      </c>
      <c r="K80" s="122">
        <v>0.8</v>
      </c>
    </row>
    <row r="81" spans="2:11" x14ac:dyDescent="0.35">
      <c r="B81" s="121" t="s">
        <v>76</v>
      </c>
      <c r="C81" s="13">
        <v>8.1</v>
      </c>
      <c r="D81" s="13">
        <v>9.6</v>
      </c>
      <c r="E81" s="122">
        <v>14</v>
      </c>
      <c r="F81" s="13">
        <v>8</v>
      </c>
      <c r="G81" s="13">
        <v>8.9</v>
      </c>
      <c r="H81" s="122">
        <v>11.5</v>
      </c>
      <c r="I81" s="136">
        <v>7.5604215873764016</v>
      </c>
      <c r="J81" s="123">
        <v>9.2136460806642972</v>
      </c>
      <c r="K81" s="122">
        <v>11.7</v>
      </c>
    </row>
    <row r="82" spans="2:11" ht="15" thickBot="1" x14ac:dyDescent="0.4">
      <c r="B82" s="121" t="s">
        <v>77</v>
      </c>
      <c r="C82" s="129">
        <v>6.3</v>
      </c>
      <c r="D82" s="129">
        <v>5.6</v>
      </c>
      <c r="E82" s="128" t="s">
        <v>22</v>
      </c>
      <c r="F82" s="129">
        <v>4.7</v>
      </c>
      <c r="G82" s="129">
        <v>5.0999999999999996</v>
      </c>
      <c r="H82" s="128"/>
      <c r="I82" s="136">
        <v>4.9855697657956313</v>
      </c>
      <c r="J82" s="123">
        <v>5.3473581975467104</v>
      </c>
      <c r="K82" s="128"/>
    </row>
    <row r="83" spans="2:11" ht="16" customHeight="1" thickBot="1" x14ac:dyDescent="0.4">
      <c r="B83" s="188" t="s">
        <v>152</v>
      </c>
      <c r="C83" s="189"/>
      <c r="D83" s="189"/>
      <c r="E83" s="189"/>
      <c r="F83" s="189"/>
      <c r="G83" s="189"/>
      <c r="H83" s="189"/>
      <c r="I83" s="189"/>
      <c r="J83" s="189"/>
      <c r="K83" s="190"/>
    </row>
    <row r="84" spans="2:11" ht="15.5" x14ac:dyDescent="0.35">
      <c r="B84" s="130" t="s">
        <v>153</v>
      </c>
      <c r="C84" s="1">
        <v>37.1</v>
      </c>
      <c r="D84" s="1">
        <v>20.8</v>
      </c>
      <c r="E84" s="131">
        <v>20.7</v>
      </c>
      <c r="F84" s="1">
        <v>39.700000000000003</v>
      </c>
      <c r="G84" s="1">
        <v>18</v>
      </c>
      <c r="H84" s="131">
        <v>18.8</v>
      </c>
      <c r="I84" s="93">
        <v>37.25</v>
      </c>
      <c r="J84" s="93">
        <v>17.989999999999998</v>
      </c>
      <c r="K84" s="154">
        <v>18.899999999999999</v>
      </c>
    </row>
    <row r="85" spans="2:11" ht="15.5" x14ac:dyDescent="0.35">
      <c r="B85" s="130" t="s">
        <v>154</v>
      </c>
      <c r="C85" s="1">
        <v>87.9</v>
      </c>
      <c r="D85" s="1">
        <v>83.4</v>
      </c>
      <c r="E85" s="131">
        <v>83.7</v>
      </c>
      <c r="F85" s="1">
        <v>89.1</v>
      </c>
      <c r="G85" s="1">
        <v>80.099999999999994</v>
      </c>
      <c r="H85" s="131">
        <v>78.8</v>
      </c>
      <c r="I85" s="93">
        <v>87.96</v>
      </c>
      <c r="J85" s="93">
        <v>80.819999999999993</v>
      </c>
      <c r="K85" s="154">
        <v>83.45</v>
      </c>
    </row>
    <row r="86" spans="2:11" ht="15.5" x14ac:dyDescent="0.35">
      <c r="B86" s="130" t="s">
        <v>155</v>
      </c>
      <c r="C86" s="1">
        <v>59.6</v>
      </c>
      <c r="D86" s="1">
        <v>51.6</v>
      </c>
      <c r="E86" s="131">
        <v>74.5</v>
      </c>
      <c r="F86" s="1">
        <v>64.5</v>
      </c>
      <c r="G86" s="1">
        <v>52</v>
      </c>
      <c r="H86" s="131">
        <v>60.4</v>
      </c>
      <c r="I86" s="93">
        <v>63.18</v>
      </c>
      <c r="J86" s="93">
        <v>55.51</v>
      </c>
      <c r="K86" s="154">
        <v>65.819999999999993</v>
      </c>
    </row>
    <row r="87" spans="2:11" ht="16" thickBot="1" x14ac:dyDescent="0.4">
      <c r="B87" s="130" t="s">
        <v>156</v>
      </c>
      <c r="C87" s="1">
        <v>34.5</v>
      </c>
      <c r="D87" s="1">
        <v>29.7</v>
      </c>
      <c r="E87" s="131">
        <v>69.3</v>
      </c>
      <c r="F87" s="1">
        <v>39.799999999999997</v>
      </c>
      <c r="G87" s="1">
        <v>30.2</v>
      </c>
      <c r="H87" s="131">
        <v>59.8</v>
      </c>
      <c r="I87" s="93">
        <v>41.86</v>
      </c>
      <c r="J87" s="93">
        <v>36.630000000000003</v>
      </c>
      <c r="K87" s="154">
        <v>66.959999999999994</v>
      </c>
    </row>
    <row r="88" spans="2:11" ht="16" thickBot="1" x14ac:dyDescent="0.4">
      <c r="B88" s="191" t="s">
        <v>157</v>
      </c>
      <c r="C88" s="192"/>
      <c r="D88" s="192"/>
      <c r="E88" s="192"/>
      <c r="F88" s="192"/>
      <c r="G88" s="192"/>
      <c r="H88" s="192"/>
      <c r="I88" s="192"/>
      <c r="J88" s="192"/>
      <c r="K88" s="193"/>
    </row>
    <row r="89" spans="2:11" ht="15.5" x14ac:dyDescent="0.35">
      <c r="B89" s="155" t="s">
        <v>158</v>
      </c>
      <c r="C89" s="156">
        <v>10.3</v>
      </c>
      <c r="D89" s="156">
        <v>9.6</v>
      </c>
      <c r="E89" s="157">
        <v>64.599999999999994</v>
      </c>
      <c r="F89" s="156">
        <v>7.5</v>
      </c>
      <c r="G89" s="156">
        <v>12.1</v>
      </c>
      <c r="H89" s="157">
        <v>58.2</v>
      </c>
      <c r="I89" s="158">
        <v>13.43</v>
      </c>
      <c r="J89" s="158">
        <v>11.52</v>
      </c>
      <c r="K89" s="159">
        <v>58.88</v>
      </c>
    </row>
    <row r="90" spans="2:11" ht="16" thickBot="1" x14ac:dyDescent="0.4">
      <c r="B90" s="160" t="s">
        <v>159</v>
      </c>
      <c r="C90" s="161">
        <v>92.1</v>
      </c>
      <c r="D90" s="161">
        <v>91.6</v>
      </c>
      <c r="E90" s="162">
        <v>94.8</v>
      </c>
      <c r="F90" s="161">
        <v>90.6</v>
      </c>
      <c r="G90" s="161">
        <v>89.2</v>
      </c>
      <c r="H90" s="162">
        <v>92.9</v>
      </c>
      <c r="I90" s="163">
        <v>90.29</v>
      </c>
      <c r="J90" s="163">
        <v>89.88</v>
      </c>
      <c r="K90" s="164">
        <v>94.72</v>
      </c>
    </row>
    <row r="91" spans="2:11" ht="16" thickBot="1" x14ac:dyDescent="0.4">
      <c r="B91" s="194" t="s">
        <v>160</v>
      </c>
      <c r="C91" s="195"/>
      <c r="D91" s="195"/>
      <c r="E91" s="195"/>
      <c r="F91" s="195"/>
      <c r="G91" s="195"/>
      <c r="H91" s="195"/>
      <c r="I91" s="195"/>
      <c r="J91" s="195"/>
      <c r="K91" s="196"/>
    </row>
    <row r="92" spans="2:11" ht="15.5" x14ac:dyDescent="0.35">
      <c r="B92" s="130" t="s">
        <v>161</v>
      </c>
      <c r="C92" s="132">
        <v>2377.1</v>
      </c>
      <c r="D92" s="132">
        <v>2377.1</v>
      </c>
      <c r="E92" s="139" t="s">
        <v>22</v>
      </c>
      <c r="F92" s="132">
        <v>2376.3000000000002</v>
      </c>
      <c r="G92" s="132">
        <v>2376.3000000000002</v>
      </c>
      <c r="H92" s="139" t="s">
        <v>22</v>
      </c>
      <c r="I92" s="132">
        <v>2376.2987943884887</v>
      </c>
      <c r="J92" s="132">
        <v>2376.2987943884887</v>
      </c>
      <c r="K92" s="131" t="s">
        <v>22</v>
      </c>
    </row>
    <row r="93" spans="2:11" ht="15.5" x14ac:dyDescent="0.35">
      <c r="B93" s="130" t="s">
        <v>162</v>
      </c>
      <c r="C93" s="132">
        <v>1367.5</v>
      </c>
      <c r="D93" s="132">
        <v>1344.6</v>
      </c>
      <c r="E93" s="139" t="s">
        <v>22</v>
      </c>
      <c r="F93" s="132">
        <v>1372</v>
      </c>
      <c r="G93" s="132">
        <v>1349.7</v>
      </c>
      <c r="H93" s="139" t="s">
        <v>22</v>
      </c>
      <c r="I93" s="132">
        <v>1398.8418664547094</v>
      </c>
      <c r="J93" s="132">
        <v>1423.0333115470946</v>
      </c>
      <c r="K93" s="131" t="s">
        <v>22</v>
      </c>
    </row>
    <row r="94" spans="2:11" ht="15.5" x14ac:dyDescent="0.35">
      <c r="B94" s="130" t="s">
        <v>163</v>
      </c>
      <c r="C94" s="132">
        <v>57.5</v>
      </c>
      <c r="D94" s="132">
        <v>56.6</v>
      </c>
      <c r="E94" s="139" t="s">
        <v>22</v>
      </c>
      <c r="F94" s="132">
        <v>57.7</v>
      </c>
      <c r="G94" s="132">
        <v>56.8</v>
      </c>
      <c r="H94" s="139" t="s">
        <v>22</v>
      </c>
      <c r="I94" s="132">
        <v>58.866413169842311</v>
      </c>
      <c r="J94" s="132">
        <v>59.884443610690582</v>
      </c>
      <c r="K94" s="131" t="s">
        <v>22</v>
      </c>
    </row>
    <row r="95" spans="2:11" ht="15.5" x14ac:dyDescent="0.35">
      <c r="B95" s="130" t="s">
        <v>164</v>
      </c>
      <c r="C95" s="132">
        <v>542.5</v>
      </c>
      <c r="D95" s="132">
        <v>540</v>
      </c>
      <c r="E95" s="139" t="s">
        <v>22</v>
      </c>
      <c r="F95" s="132">
        <v>511.2</v>
      </c>
      <c r="G95" s="132">
        <v>513.29999999999995</v>
      </c>
      <c r="H95" s="139" t="s">
        <v>22</v>
      </c>
      <c r="I95" s="132">
        <v>491.7706</v>
      </c>
      <c r="J95" s="132">
        <v>523.66347454709467</v>
      </c>
      <c r="K95" s="131" t="s">
        <v>22</v>
      </c>
    </row>
    <row r="96" spans="2:11" ht="15.5" x14ac:dyDescent="0.35">
      <c r="B96" s="130" t="s">
        <v>165</v>
      </c>
      <c r="C96" s="132">
        <v>126</v>
      </c>
      <c r="D96" s="132">
        <v>124.3</v>
      </c>
      <c r="E96" s="139" t="s">
        <v>22</v>
      </c>
      <c r="F96" s="132">
        <v>124.5</v>
      </c>
      <c r="G96" s="132">
        <v>115.9</v>
      </c>
      <c r="H96" s="139" t="s">
        <v>22</v>
      </c>
      <c r="I96" s="132">
        <v>96.248829999999998</v>
      </c>
      <c r="J96" s="132">
        <v>100.48349482048827</v>
      </c>
      <c r="K96" s="131" t="s">
        <v>22</v>
      </c>
    </row>
    <row r="97" spans="2:11" ht="15.5" x14ac:dyDescent="0.35">
      <c r="B97" s="130" t="s">
        <v>166</v>
      </c>
      <c r="C97" s="132">
        <v>1000</v>
      </c>
      <c r="D97" s="132">
        <v>982.7</v>
      </c>
      <c r="E97" s="139" t="s">
        <v>22</v>
      </c>
      <c r="F97" s="132">
        <v>1049.0999999999999</v>
      </c>
      <c r="G97" s="132">
        <v>987</v>
      </c>
      <c r="H97" s="139" t="s">
        <v>22</v>
      </c>
      <c r="I97" s="132">
        <v>1019.059</v>
      </c>
      <c r="J97" s="132">
        <v>1022.093563</v>
      </c>
      <c r="K97" s="131" t="s">
        <v>22</v>
      </c>
    </row>
    <row r="98" spans="2:11" ht="15.5" x14ac:dyDescent="0.35">
      <c r="B98" s="130" t="s">
        <v>167</v>
      </c>
      <c r="C98" s="132">
        <v>112</v>
      </c>
      <c r="D98" s="132">
        <v>117.6</v>
      </c>
      <c r="E98" s="139" t="s">
        <v>22</v>
      </c>
      <c r="F98" s="132">
        <v>103.5</v>
      </c>
      <c r="G98" s="132">
        <v>127.9</v>
      </c>
      <c r="H98" s="139" t="s">
        <v>22</v>
      </c>
      <c r="I98" s="132">
        <v>141.73750000000001</v>
      </c>
      <c r="J98" s="132">
        <v>149.91619370000004</v>
      </c>
      <c r="K98" s="131" t="s">
        <v>22</v>
      </c>
    </row>
    <row r="99" spans="2:11" ht="16" thickBot="1" x14ac:dyDescent="0.4">
      <c r="B99" s="133" t="s">
        <v>168</v>
      </c>
      <c r="C99" s="140">
        <v>11</v>
      </c>
      <c r="D99" s="140">
        <v>10.199999999999999</v>
      </c>
      <c r="E99" s="141" t="s">
        <v>22</v>
      </c>
      <c r="F99" s="140">
        <v>9.8000000000000007</v>
      </c>
      <c r="G99" s="140">
        <v>11</v>
      </c>
      <c r="H99" s="141" t="s">
        <v>22</v>
      </c>
      <c r="I99" s="140">
        <v>9.8012060000000005</v>
      </c>
      <c r="J99" s="140">
        <v>10.231220170000002</v>
      </c>
      <c r="K99" s="134" t="s">
        <v>22</v>
      </c>
    </row>
  </sheetData>
  <mergeCells count="14">
    <mergeCell ref="B83:K83"/>
    <mergeCell ref="B88:K88"/>
    <mergeCell ref="B91:K91"/>
    <mergeCell ref="B45:K45"/>
    <mergeCell ref="B64:K64"/>
    <mergeCell ref="B7:K7"/>
    <mergeCell ref="B26:K26"/>
    <mergeCell ref="B4:B6"/>
    <mergeCell ref="C4:E4"/>
    <mergeCell ref="F4:H4"/>
    <mergeCell ref="I4:K4"/>
    <mergeCell ref="C5:E5"/>
    <mergeCell ref="F5:H5"/>
    <mergeCell ref="I5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18"/>
  <sheetViews>
    <sheetView workbookViewId="0"/>
  </sheetViews>
  <sheetFormatPr defaultColWidth="37.26953125" defaultRowHeight="14.5" x14ac:dyDescent="0.35"/>
  <cols>
    <col min="1" max="1" width="5" customWidth="1"/>
    <col min="2" max="2" width="12.81640625" customWidth="1"/>
    <col min="3" max="3" width="32.81640625" customWidth="1"/>
    <col min="4" max="4" width="10.54296875" bestFit="1" customWidth="1"/>
    <col min="5" max="5" width="16.1796875" bestFit="1" customWidth="1"/>
  </cols>
  <sheetData>
    <row r="2" spans="2:10" ht="16" thickBot="1" x14ac:dyDescent="0.4">
      <c r="B2" s="25" t="s">
        <v>116</v>
      </c>
      <c r="C2" s="2"/>
      <c r="D2" s="2"/>
      <c r="E2" s="2"/>
    </row>
    <row r="3" spans="2:10" ht="15" thickTop="1" x14ac:dyDescent="0.35">
      <c r="B3" s="26" t="s">
        <v>117</v>
      </c>
      <c r="C3" s="26" t="s">
        <v>0</v>
      </c>
      <c r="D3" s="26" t="s">
        <v>1</v>
      </c>
      <c r="E3" s="26" t="s">
        <v>2</v>
      </c>
      <c r="I3" t="s">
        <v>1</v>
      </c>
      <c r="J3" t="s">
        <v>2</v>
      </c>
    </row>
    <row r="4" spans="2:10" x14ac:dyDescent="0.35">
      <c r="B4" s="4">
        <v>1</v>
      </c>
      <c r="C4" s="4" t="s">
        <v>118</v>
      </c>
      <c r="D4" s="27">
        <v>1307955.9620492554</v>
      </c>
      <c r="E4" s="28">
        <v>51.670721430515563</v>
      </c>
      <c r="I4" s="23">
        <v>1322537</v>
      </c>
      <c r="J4">
        <v>52.1</v>
      </c>
    </row>
    <row r="5" spans="2:10" x14ac:dyDescent="0.35">
      <c r="B5" s="4">
        <v>2</v>
      </c>
      <c r="C5" s="4" t="s">
        <v>119</v>
      </c>
      <c r="D5" s="27">
        <v>56905.319309313963</v>
      </c>
      <c r="E5" s="28">
        <v>2.2480412087722659</v>
      </c>
      <c r="I5" s="23">
        <v>57235</v>
      </c>
      <c r="J5">
        <v>2.2999999999999998</v>
      </c>
    </row>
    <row r="6" spans="2:10" x14ac:dyDescent="0.35">
      <c r="B6" s="4">
        <v>3</v>
      </c>
      <c r="C6" s="4" t="s">
        <v>120</v>
      </c>
      <c r="D6" s="27">
        <v>127640.22414143066</v>
      </c>
      <c r="E6" s="28">
        <v>5.0424193599050735</v>
      </c>
      <c r="I6" s="23">
        <v>22688</v>
      </c>
      <c r="J6">
        <v>0.9</v>
      </c>
    </row>
    <row r="7" spans="2:10" x14ac:dyDescent="0.35">
      <c r="B7" s="4">
        <v>4</v>
      </c>
      <c r="C7" s="4" t="s">
        <v>121</v>
      </c>
      <c r="D7" s="27">
        <v>95739.86821153565</v>
      </c>
      <c r="E7" s="28">
        <v>3.7821977220103351</v>
      </c>
      <c r="I7" s="23">
        <v>35445</v>
      </c>
      <c r="J7">
        <v>1.4</v>
      </c>
    </row>
    <row r="8" spans="2:10" x14ac:dyDescent="0.35">
      <c r="B8" s="4">
        <v>5</v>
      </c>
      <c r="C8" s="4" t="s">
        <v>122</v>
      </c>
      <c r="D8" s="27">
        <v>22825.237390698236</v>
      </c>
      <c r="E8" s="28">
        <v>0.90170962709808911</v>
      </c>
      <c r="I8" s="23">
        <v>124778</v>
      </c>
      <c r="J8">
        <v>4.9000000000000004</v>
      </c>
    </row>
    <row r="9" spans="2:10" x14ac:dyDescent="0.35">
      <c r="B9" s="4">
        <v>6</v>
      </c>
      <c r="C9" s="4" t="s">
        <v>123</v>
      </c>
      <c r="D9" s="27">
        <v>23731.664547094726</v>
      </c>
      <c r="E9" s="28">
        <v>0.93751797726749142</v>
      </c>
      <c r="I9" s="23">
        <v>10610</v>
      </c>
      <c r="J9">
        <v>0.4</v>
      </c>
    </row>
    <row r="10" spans="2:10" x14ac:dyDescent="0.35">
      <c r="B10" s="4">
        <v>7</v>
      </c>
      <c r="C10" s="4" t="s">
        <v>3</v>
      </c>
      <c r="D10" s="27">
        <v>36845.912928637692</v>
      </c>
      <c r="E10" s="28">
        <v>1.4555955689867286</v>
      </c>
      <c r="I10" s="23">
        <v>65121</v>
      </c>
      <c r="J10">
        <v>2.6</v>
      </c>
    </row>
    <row r="11" spans="2:10" x14ac:dyDescent="0.35">
      <c r="B11" s="4">
        <v>8</v>
      </c>
      <c r="C11" s="4" t="s">
        <v>124</v>
      </c>
      <c r="D11" s="27">
        <v>381391.43979240733</v>
      </c>
      <c r="E11" s="28">
        <v>15.066845836782541</v>
      </c>
      <c r="I11" s="23">
        <v>79012</v>
      </c>
      <c r="J11">
        <v>3.1</v>
      </c>
    </row>
    <row r="12" spans="2:10" x14ac:dyDescent="0.35">
      <c r="B12" s="4">
        <v>9</v>
      </c>
      <c r="C12" s="4" t="s">
        <v>6</v>
      </c>
      <c r="D12" s="27">
        <v>190247.45245417481</v>
      </c>
      <c r="E12" s="28">
        <v>7.5157141401177627</v>
      </c>
      <c r="I12" s="23">
        <v>16361</v>
      </c>
      <c r="J12">
        <v>0.6</v>
      </c>
    </row>
    <row r="13" spans="2:10" x14ac:dyDescent="0.35">
      <c r="B13" s="4">
        <v>10</v>
      </c>
      <c r="C13" s="4" t="s">
        <v>5</v>
      </c>
      <c r="D13" s="27">
        <v>155030.21716428222</v>
      </c>
      <c r="E13" s="28">
        <v>6.1244593830646838</v>
      </c>
      <c r="I13" s="23">
        <v>163479</v>
      </c>
      <c r="J13">
        <v>6.4</v>
      </c>
    </row>
    <row r="14" spans="2:10" x14ac:dyDescent="0.35">
      <c r="B14" s="4">
        <v>11</v>
      </c>
      <c r="C14" s="4" t="s">
        <v>125</v>
      </c>
      <c r="D14" s="27">
        <v>58656.730035473622</v>
      </c>
      <c r="E14" s="28">
        <v>2.3172305839252534</v>
      </c>
      <c r="I14" s="23">
        <v>192323</v>
      </c>
      <c r="J14">
        <v>7.6</v>
      </c>
    </row>
    <row r="15" spans="2:10" x14ac:dyDescent="0.35">
      <c r="B15" s="4">
        <v>12</v>
      </c>
      <c r="C15" s="4" t="s">
        <v>126</v>
      </c>
      <c r="D15" s="27">
        <v>45882.988532043462</v>
      </c>
      <c r="E15" s="28">
        <v>1.8126046958983757</v>
      </c>
      <c r="I15" s="23">
        <v>40154</v>
      </c>
      <c r="J15">
        <v>1.6</v>
      </c>
    </row>
    <row r="16" spans="2:10" x14ac:dyDescent="0.35">
      <c r="B16" s="4">
        <v>13</v>
      </c>
      <c r="C16" s="4" t="s">
        <v>4</v>
      </c>
      <c r="D16" s="27">
        <v>15411.92097093506</v>
      </c>
      <c r="E16" s="28">
        <v>0.60884700884777754</v>
      </c>
      <c r="I16" s="23">
        <v>385981</v>
      </c>
      <c r="J16">
        <v>15.2</v>
      </c>
    </row>
    <row r="17" spans="2:10" x14ac:dyDescent="0.35">
      <c r="B17" s="4">
        <v>14</v>
      </c>
      <c r="C17" s="29" t="s">
        <v>127</v>
      </c>
      <c r="D17" s="29">
        <v>13064.074025488284</v>
      </c>
      <c r="E17" s="30">
        <v>0.51609545680806235</v>
      </c>
      <c r="I17" s="23">
        <v>22740</v>
      </c>
      <c r="J17">
        <v>0.9</v>
      </c>
    </row>
    <row r="18" spans="2:10" x14ac:dyDescent="0.35">
      <c r="B18" s="10" t="s">
        <v>172</v>
      </c>
      <c r="C18" s="4"/>
      <c r="D18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9"/>
  <sheetViews>
    <sheetView workbookViewId="0">
      <selection activeCell="B2" sqref="B2"/>
    </sheetView>
  </sheetViews>
  <sheetFormatPr defaultColWidth="49.81640625" defaultRowHeight="14.5" x14ac:dyDescent="0.35"/>
  <cols>
    <col min="1" max="1" width="7.453125" customWidth="1"/>
    <col min="2" max="2" width="12.54296875" customWidth="1"/>
    <col min="3" max="3" width="26.1796875" customWidth="1"/>
    <col min="4" max="4" width="56.26953125" customWidth="1"/>
  </cols>
  <sheetData>
    <row r="2" spans="2:4" ht="15" thickBot="1" x14ac:dyDescent="0.4">
      <c r="B2" s="32" t="s">
        <v>128</v>
      </c>
      <c r="C2" s="33"/>
      <c r="D2" s="33"/>
    </row>
    <row r="3" spans="2:4" ht="15" thickTop="1" x14ac:dyDescent="0.35">
      <c r="B3" s="34" t="s">
        <v>129</v>
      </c>
      <c r="C3" s="34" t="s">
        <v>8</v>
      </c>
      <c r="D3" s="34" t="s">
        <v>9</v>
      </c>
    </row>
    <row r="4" spans="2:4" ht="16" customHeight="1" x14ac:dyDescent="0.35">
      <c r="B4" s="4">
        <v>1</v>
      </c>
      <c r="C4" s="4" t="s">
        <v>10</v>
      </c>
      <c r="D4" s="35" t="s">
        <v>11</v>
      </c>
    </row>
    <row r="5" spans="2:4" ht="15" customHeight="1" x14ac:dyDescent="0.35">
      <c r="B5" s="4">
        <v>2</v>
      </c>
      <c r="C5" s="4" t="s">
        <v>130</v>
      </c>
      <c r="D5" s="35" t="s">
        <v>12</v>
      </c>
    </row>
    <row r="6" spans="2:4" ht="28.5" x14ac:dyDescent="0.35">
      <c r="B6" s="4">
        <v>3</v>
      </c>
      <c r="C6" s="4" t="s">
        <v>13</v>
      </c>
      <c r="D6" s="35" t="s">
        <v>14</v>
      </c>
    </row>
    <row r="7" spans="2:4" x14ac:dyDescent="0.35">
      <c r="B7" s="4">
        <v>4</v>
      </c>
      <c r="C7" s="4" t="s">
        <v>19</v>
      </c>
      <c r="D7" s="35" t="s">
        <v>15</v>
      </c>
    </row>
    <row r="8" spans="2:4" ht="28.5" x14ac:dyDescent="0.35">
      <c r="B8" s="34">
        <v>9</v>
      </c>
      <c r="C8" s="34" t="s">
        <v>16</v>
      </c>
      <c r="D8" s="36" t="s">
        <v>17</v>
      </c>
    </row>
    <row r="9" spans="2:4" x14ac:dyDescent="0.35">
      <c r="B9" s="10" t="s">
        <v>172</v>
      </c>
      <c r="C9" s="4"/>
      <c r="D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5"/>
  <sheetViews>
    <sheetView workbookViewId="0">
      <selection activeCell="B2" sqref="B2"/>
    </sheetView>
  </sheetViews>
  <sheetFormatPr defaultRowHeight="14.5" x14ac:dyDescent="0.35"/>
  <cols>
    <col min="2" max="2" width="13.81640625" customWidth="1"/>
    <col min="3" max="3" width="17.6328125" bestFit="1" customWidth="1"/>
    <col min="4" max="4" width="18.54296875" bestFit="1" customWidth="1"/>
    <col min="5" max="5" width="15.6328125" bestFit="1" customWidth="1"/>
    <col min="6" max="6" width="11.08984375" bestFit="1" customWidth="1"/>
    <col min="7" max="7" width="13" bestFit="1" customWidth="1"/>
    <col min="8" max="8" width="9.1796875" bestFit="1" customWidth="1"/>
    <col min="9" max="9" width="8" bestFit="1" customWidth="1"/>
  </cols>
  <sheetData>
    <row r="2" spans="2:9" ht="16.5" customHeight="1" thickBot="1" x14ac:dyDescent="0.4">
      <c r="B2" s="37" t="s">
        <v>131</v>
      </c>
      <c r="I2" s="38"/>
    </row>
    <row r="3" spans="2:9" ht="15" customHeight="1" x14ac:dyDescent="0.35">
      <c r="B3" s="39" t="s">
        <v>132</v>
      </c>
      <c r="C3" s="96" t="s">
        <v>24</v>
      </c>
      <c r="D3" s="97" t="s">
        <v>18</v>
      </c>
      <c r="E3" s="97" t="s">
        <v>13</v>
      </c>
      <c r="F3" s="97" t="s">
        <v>19</v>
      </c>
      <c r="G3" s="97" t="s">
        <v>133</v>
      </c>
      <c r="H3" s="98" t="s">
        <v>138</v>
      </c>
      <c r="I3" s="34" t="s">
        <v>56</v>
      </c>
    </row>
    <row r="4" spans="2:9" x14ac:dyDescent="0.35">
      <c r="B4" s="4" t="s">
        <v>21</v>
      </c>
      <c r="C4" s="99">
        <v>534</v>
      </c>
      <c r="D4" s="76">
        <v>238</v>
      </c>
      <c r="E4" s="76"/>
      <c r="F4" s="76">
        <v>168</v>
      </c>
      <c r="G4" s="76">
        <v>524</v>
      </c>
      <c r="H4" s="100">
        <v>1464</v>
      </c>
      <c r="I4" s="42">
        <v>852</v>
      </c>
    </row>
    <row r="5" spans="2:9" x14ac:dyDescent="0.35">
      <c r="B5" s="4" t="s">
        <v>27</v>
      </c>
      <c r="C5" s="99">
        <v>2165</v>
      </c>
      <c r="D5" s="76">
        <v>283</v>
      </c>
      <c r="E5" s="76"/>
      <c r="F5" s="76">
        <v>697</v>
      </c>
      <c r="G5" s="76">
        <v>1632</v>
      </c>
      <c r="H5" s="100">
        <v>4777</v>
      </c>
      <c r="I5" s="42">
        <v>4138</v>
      </c>
    </row>
    <row r="6" spans="2:9" x14ac:dyDescent="0.35">
      <c r="B6" s="4" t="s">
        <v>28</v>
      </c>
      <c r="C6" s="99">
        <v>461</v>
      </c>
      <c r="D6" s="76">
        <v>179</v>
      </c>
      <c r="E6" s="76"/>
      <c r="F6" s="76">
        <v>233</v>
      </c>
      <c r="G6" s="76">
        <v>1000</v>
      </c>
      <c r="H6" s="100">
        <v>1873</v>
      </c>
      <c r="I6" s="42">
        <v>1075</v>
      </c>
    </row>
    <row r="7" spans="2:9" x14ac:dyDescent="0.35">
      <c r="B7" s="4" t="s">
        <v>29</v>
      </c>
      <c r="C7" s="99">
        <v>5688</v>
      </c>
      <c r="D7" s="76">
        <v>520</v>
      </c>
      <c r="E7" s="76"/>
      <c r="F7" s="76">
        <v>500</v>
      </c>
      <c r="G7" s="76">
        <v>744</v>
      </c>
      <c r="H7" s="100">
        <v>7452</v>
      </c>
      <c r="I7" s="42">
        <v>8952</v>
      </c>
    </row>
    <row r="8" spans="2:9" x14ac:dyDescent="0.35">
      <c r="B8" s="4" t="s">
        <v>30</v>
      </c>
      <c r="C8" s="99">
        <v>5197</v>
      </c>
      <c r="D8" s="76">
        <v>397</v>
      </c>
      <c r="E8" s="76"/>
      <c r="F8" s="76">
        <v>824</v>
      </c>
      <c r="G8" s="76">
        <v>1077</v>
      </c>
      <c r="H8" s="100">
        <v>7495</v>
      </c>
      <c r="I8" s="42">
        <v>10326</v>
      </c>
    </row>
    <row r="9" spans="2:9" x14ac:dyDescent="0.35">
      <c r="B9" s="4" t="s">
        <v>31</v>
      </c>
      <c r="C9" s="99">
        <v>3568</v>
      </c>
      <c r="D9" s="76">
        <v>343</v>
      </c>
      <c r="E9" s="76"/>
      <c r="F9" s="76">
        <v>1300</v>
      </c>
      <c r="G9" s="76">
        <v>6027</v>
      </c>
      <c r="H9" s="100">
        <v>11238</v>
      </c>
      <c r="I9" s="42">
        <v>10020</v>
      </c>
    </row>
    <row r="10" spans="2:9" x14ac:dyDescent="0.35">
      <c r="B10" s="4" t="s">
        <v>32</v>
      </c>
      <c r="C10" s="99">
        <v>3160</v>
      </c>
      <c r="D10" s="76">
        <v>346</v>
      </c>
      <c r="E10" s="76"/>
      <c r="F10" s="76">
        <v>1466</v>
      </c>
      <c r="G10" s="76">
        <v>1496</v>
      </c>
      <c r="H10" s="100">
        <v>6468</v>
      </c>
      <c r="I10" s="42">
        <v>7817</v>
      </c>
    </row>
    <row r="11" spans="2:9" x14ac:dyDescent="0.35">
      <c r="B11" s="4" t="s">
        <v>33</v>
      </c>
      <c r="C11" s="99">
        <v>5344</v>
      </c>
      <c r="D11" s="76">
        <v>263</v>
      </c>
      <c r="E11" s="76"/>
      <c r="F11" s="76">
        <v>1154</v>
      </c>
      <c r="G11" s="76">
        <v>5352</v>
      </c>
      <c r="H11" s="100">
        <v>12113</v>
      </c>
      <c r="I11" s="42">
        <v>6031</v>
      </c>
    </row>
    <row r="12" spans="2:9" x14ac:dyDescent="0.35">
      <c r="B12" s="4" t="s">
        <v>34</v>
      </c>
      <c r="C12" s="99">
        <v>5663</v>
      </c>
      <c r="D12" s="76">
        <v>336</v>
      </c>
      <c r="E12" s="76"/>
      <c r="F12" s="76">
        <v>489</v>
      </c>
      <c r="G12" s="76">
        <v>487</v>
      </c>
      <c r="H12" s="100">
        <v>6975</v>
      </c>
      <c r="I12" s="42">
        <v>6106</v>
      </c>
    </row>
    <row r="13" spans="2:9" x14ac:dyDescent="0.35">
      <c r="B13" s="4" t="s">
        <v>35</v>
      </c>
      <c r="C13" s="99">
        <v>4983</v>
      </c>
      <c r="D13" s="76">
        <v>237</v>
      </c>
      <c r="E13" s="76"/>
      <c r="F13" s="76">
        <v>760</v>
      </c>
      <c r="G13" s="76">
        <v>1200</v>
      </c>
      <c r="H13" s="100">
        <v>7180</v>
      </c>
      <c r="I13" s="42">
        <v>5586</v>
      </c>
    </row>
    <row r="14" spans="2:9" x14ac:dyDescent="0.35">
      <c r="B14" s="4" t="s">
        <v>36</v>
      </c>
      <c r="C14" s="99">
        <v>5530</v>
      </c>
      <c r="D14" s="76">
        <v>320</v>
      </c>
      <c r="E14" s="76"/>
      <c r="F14" s="76">
        <v>704</v>
      </c>
      <c r="G14" s="76">
        <v>777</v>
      </c>
      <c r="H14" s="100">
        <v>7331</v>
      </c>
      <c r="I14" s="42">
        <v>5857</v>
      </c>
    </row>
    <row r="15" spans="2:9" x14ac:dyDescent="0.35">
      <c r="B15" s="4" t="s">
        <v>37</v>
      </c>
      <c r="C15" s="99">
        <v>5757</v>
      </c>
      <c r="D15" s="76">
        <v>117</v>
      </c>
      <c r="E15" s="76"/>
      <c r="F15" s="76">
        <v>726</v>
      </c>
      <c r="G15" s="76">
        <v>2159</v>
      </c>
      <c r="H15" s="100">
        <v>8759</v>
      </c>
      <c r="I15" s="42">
        <v>3986</v>
      </c>
    </row>
    <row r="16" spans="2:9" x14ac:dyDescent="0.35">
      <c r="B16" s="4" t="s">
        <v>38</v>
      </c>
      <c r="C16" s="99">
        <v>4511</v>
      </c>
      <c r="D16" s="76"/>
      <c r="E16" s="76"/>
      <c r="F16" s="76">
        <v>776</v>
      </c>
      <c r="G16" s="76">
        <v>2083</v>
      </c>
      <c r="H16" s="100">
        <v>7370</v>
      </c>
      <c r="I16" s="42">
        <v>1774</v>
      </c>
    </row>
    <row r="17" spans="2:9" x14ac:dyDescent="0.35">
      <c r="B17" s="4" t="s">
        <v>39</v>
      </c>
      <c r="C17" s="99">
        <v>2516</v>
      </c>
      <c r="D17" s="76"/>
      <c r="E17" s="76"/>
      <c r="F17" s="76">
        <v>446</v>
      </c>
      <c r="G17" s="76">
        <v>843</v>
      </c>
      <c r="H17" s="100">
        <v>3805</v>
      </c>
      <c r="I17" s="42">
        <v>2560</v>
      </c>
    </row>
    <row r="18" spans="2:9" x14ac:dyDescent="0.35">
      <c r="B18" s="4" t="s">
        <v>40</v>
      </c>
      <c r="C18" s="99">
        <v>3481</v>
      </c>
      <c r="D18" s="76"/>
      <c r="E18" s="76"/>
      <c r="F18" s="76">
        <v>671</v>
      </c>
      <c r="G18" s="76">
        <v>1896</v>
      </c>
      <c r="H18" s="100">
        <v>6048</v>
      </c>
      <c r="I18" s="42">
        <v>3914</v>
      </c>
    </row>
    <row r="19" spans="2:9" x14ac:dyDescent="0.35">
      <c r="B19" s="4" t="s">
        <v>41</v>
      </c>
      <c r="C19" s="99">
        <v>5580</v>
      </c>
      <c r="D19" s="76">
        <v>134</v>
      </c>
      <c r="E19" s="76"/>
      <c r="F19" s="76">
        <v>461</v>
      </c>
      <c r="G19" s="76">
        <v>1276</v>
      </c>
      <c r="H19" s="100">
        <v>7451</v>
      </c>
      <c r="I19" s="42">
        <v>2068</v>
      </c>
    </row>
    <row r="20" spans="2:9" x14ac:dyDescent="0.35">
      <c r="B20" s="4" t="s">
        <v>42</v>
      </c>
      <c r="C20" s="99">
        <v>3731</v>
      </c>
      <c r="D20" s="76">
        <v>155</v>
      </c>
      <c r="E20" s="76"/>
      <c r="F20" s="76">
        <v>886</v>
      </c>
      <c r="G20" s="76">
        <v>5500</v>
      </c>
      <c r="H20" s="100">
        <v>10272</v>
      </c>
      <c r="I20" s="42">
        <v>3679</v>
      </c>
    </row>
    <row r="21" spans="2:9" x14ac:dyDescent="0.35">
      <c r="B21" s="4" t="s">
        <v>43</v>
      </c>
      <c r="C21" s="99">
        <v>4584</v>
      </c>
      <c r="D21" s="76">
        <v>134</v>
      </c>
      <c r="E21" s="76"/>
      <c r="F21" s="76">
        <v>953</v>
      </c>
      <c r="G21" s="76">
        <v>4839</v>
      </c>
      <c r="H21" s="100">
        <v>10510</v>
      </c>
      <c r="I21" s="42">
        <v>2908</v>
      </c>
    </row>
    <row r="22" spans="2:9" x14ac:dyDescent="0.35">
      <c r="B22" s="4" t="s">
        <v>44</v>
      </c>
      <c r="C22" s="99">
        <v>4144</v>
      </c>
      <c r="D22" s="76">
        <v>304</v>
      </c>
      <c r="E22" s="76"/>
      <c r="F22" s="76">
        <v>625</v>
      </c>
      <c r="G22" s="76">
        <v>1219</v>
      </c>
      <c r="H22" s="100">
        <v>6292</v>
      </c>
      <c r="I22" s="42">
        <v>4039</v>
      </c>
    </row>
    <row r="23" spans="2:9" x14ac:dyDescent="0.35">
      <c r="B23" s="4" t="s">
        <v>45</v>
      </c>
      <c r="C23" s="99">
        <v>5934</v>
      </c>
      <c r="D23" s="76">
        <v>249</v>
      </c>
      <c r="E23" s="76"/>
      <c r="F23" s="76">
        <v>671</v>
      </c>
      <c r="G23" s="76">
        <v>966</v>
      </c>
      <c r="H23" s="100">
        <v>7820</v>
      </c>
      <c r="I23" s="42">
        <v>4759</v>
      </c>
    </row>
    <row r="24" spans="2:9" x14ac:dyDescent="0.35">
      <c r="B24" s="4" t="s">
        <v>46</v>
      </c>
      <c r="C24" s="99">
        <v>3111</v>
      </c>
      <c r="D24" s="76">
        <v>126</v>
      </c>
      <c r="E24" s="76"/>
      <c r="F24" s="76">
        <v>769</v>
      </c>
      <c r="G24" s="76">
        <v>1869</v>
      </c>
      <c r="H24" s="100">
        <v>5875</v>
      </c>
      <c r="I24" s="42">
        <v>4304</v>
      </c>
    </row>
    <row r="25" spans="2:9" x14ac:dyDescent="0.35">
      <c r="B25" s="4" t="s">
        <v>47</v>
      </c>
      <c r="C25" s="99">
        <v>4256</v>
      </c>
      <c r="D25" s="76">
        <v>260</v>
      </c>
      <c r="E25" s="76"/>
      <c r="F25" s="76">
        <v>667</v>
      </c>
      <c r="G25" s="76">
        <v>1976</v>
      </c>
      <c r="H25" s="100">
        <v>7159</v>
      </c>
      <c r="I25" s="42">
        <v>6763</v>
      </c>
    </row>
    <row r="26" spans="2:9" x14ac:dyDescent="0.35">
      <c r="B26" s="4" t="s">
        <v>48</v>
      </c>
      <c r="C26" s="99">
        <v>5883</v>
      </c>
      <c r="D26" s="76">
        <v>208</v>
      </c>
      <c r="E26" s="76"/>
      <c r="F26" s="76">
        <v>950</v>
      </c>
      <c r="G26" s="76">
        <v>2176</v>
      </c>
      <c r="H26" s="100">
        <v>9217</v>
      </c>
      <c r="I26" s="42">
        <v>3578</v>
      </c>
    </row>
    <row r="27" spans="2:9" x14ac:dyDescent="0.35">
      <c r="B27" s="4" t="s">
        <v>49</v>
      </c>
      <c r="C27" s="99">
        <v>5060</v>
      </c>
      <c r="D27" s="76">
        <v>163</v>
      </c>
      <c r="E27" s="76"/>
      <c r="F27" s="76">
        <v>1194</v>
      </c>
      <c r="G27" s="76">
        <v>1122</v>
      </c>
      <c r="H27" s="100">
        <v>7539</v>
      </c>
      <c r="I27" s="42">
        <v>1591</v>
      </c>
    </row>
    <row r="28" spans="2:9" x14ac:dyDescent="0.35">
      <c r="B28" s="4" t="s">
        <v>50</v>
      </c>
      <c r="C28" s="99">
        <v>6591</v>
      </c>
      <c r="D28" s="76">
        <v>516</v>
      </c>
      <c r="E28" s="76">
        <v>9112</v>
      </c>
      <c r="F28" s="76">
        <v>1112</v>
      </c>
      <c r="G28" s="76">
        <v>4050</v>
      </c>
      <c r="H28" s="100">
        <v>21381</v>
      </c>
      <c r="I28" s="42">
        <v>10679</v>
      </c>
    </row>
    <row r="29" spans="2:9" x14ac:dyDescent="0.35">
      <c r="B29" s="4" t="s">
        <v>51</v>
      </c>
      <c r="C29" s="99">
        <v>7362</v>
      </c>
      <c r="D29" s="76">
        <v>435</v>
      </c>
      <c r="E29" s="76">
        <v>788</v>
      </c>
      <c r="F29" s="76">
        <v>1100</v>
      </c>
      <c r="G29" s="76">
        <v>7781</v>
      </c>
      <c r="H29" s="100">
        <v>17466</v>
      </c>
      <c r="I29" s="42">
        <v>6907</v>
      </c>
    </row>
    <row r="30" spans="2:9" x14ac:dyDescent="0.35">
      <c r="B30" s="4" t="s">
        <v>52</v>
      </c>
      <c r="C30" s="99">
        <v>6471</v>
      </c>
      <c r="D30" s="76">
        <v>149</v>
      </c>
      <c r="E30" s="76">
        <v>3825</v>
      </c>
      <c r="F30" s="76">
        <v>1293</v>
      </c>
      <c r="G30" s="76">
        <v>9730</v>
      </c>
      <c r="H30" s="100">
        <v>21468</v>
      </c>
      <c r="I30" s="42">
        <v>6808</v>
      </c>
    </row>
    <row r="31" spans="2:9" x14ac:dyDescent="0.35">
      <c r="B31" s="4" t="s">
        <v>53</v>
      </c>
      <c r="C31" s="99">
        <v>7704</v>
      </c>
      <c r="D31" s="76"/>
      <c r="E31" s="76"/>
      <c r="F31" s="76">
        <v>1501</v>
      </c>
      <c r="G31" s="76">
        <v>3972</v>
      </c>
      <c r="H31" s="100">
        <v>13177</v>
      </c>
      <c r="I31" s="42">
        <v>5395</v>
      </c>
    </row>
    <row r="32" spans="2:9" x14ac:dyDescent="0.35">
      <c r="B32" s="4" t="s">
        <v>54</v>
      </c>
      <c r="C32" s="99">
        <v>6293</v>
      </c>
      <c r="D32" s="76"/>
      <c r="E32" s="76"/>
      <c r="F32" s="76">
        <v>1201</v>
      </c>
      <c r="G32" s="76">
        <v>2154</v>
      </c>
      <c r="H32" s="100">
        <v>9648</v>
      </c>
      <c r="I32" s="42">
        <v>2850</v>
      </c>
    </row>
    <row r="33" spans="2:9" x14ac:dyDescent="0.35">
      <c r="B33" s="4" t="s">
        <v>55</v>
      </c>
      <c r="C33" s="99">
        <v>6957</v>
      </c>
      <c r="D33" s="76">
        <v>612</v>
      </c>
      <c r="E33" s="76"/>
      <c r="F33" s="76">
        <v>2341</v>
      </c>
      <c r="G33" s="76">
        <v>4456</v>
      </c>
      <c r="H33" s="100">
        <v>14366</v>
      </c>
      <c r="I33" s="42">
        <v>8685</v>
      </c>
    </row>
    <row r="34" spans="2:9" ht="15" thickBot="1" x14ac:dyDescent="0.4">
      <c r="B34" s="77" t="s">
        <v>23</v>
      </c>
      <c r="C34" s="101">
        <v>142219</v>
      </c>
      <c r="D34" s="102">
        <v>7024</v>
      </c>
      <c r="E34" s="102">
        <v>13725</v>
      </c>
      <c r="F34" s="102">
        <v>26638</v>
      </c>
      <c r="G34" s="102">
        <v>80383</v>
      </c>
      <c r="H34" s="103">
        <v>269989</v>
      </c>
      <c r="I34" s="166">
        <v>144915</v>
      </c>
    </row>
    <row r="35" spans="2:9" x14ac:dyDescent="0.35">
      <c r="B35" s="40" t="s">
        <v>172</v>
      </c>
      <c r="C35" s="4"/>
      <c r="D35" s="4"/>
      <c r="E35" s="4"/>
      <c r="F35" s="4"/>
      <c r="G35" s="4"/>
      <c r="H35" s="4"/>
      <c r="I35" s="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36"/>
  <sheetViews>
    <sheetView workbookViewId="0"/>
  </sheetViews>
  <sheetFormatPr defaultRowHeight="14.5" x14ac:dyDescent="0.35"/>
  <cols>
    <col min="2" max="2" width="22.54296875" bestFit="1" customWidth="1"/>
    <col min="3" max="3" width="12.453125" customWidth="1"/>
    <col min="4" max="4" width="12.1796875" bestFit="1" customWidth="1"/>
    <col min="5" max="5" width="9.1796875" bestFit="1" customWidth="1"/>
    <col min="6" max="6" width="7" customWidth="1"/>
    <col min="7" max="7" width="6.90625" bestFit="1" customWidth="1"/>
  </cols>
  <sheetData>
    <row r="2" spans="2:8" ht="15" thickBot="1" x14ac:dyDescent="0.4">
      <c r="B2" s="32" t="s">
        <v>140</v>
      </c>
      <c r="C2" s="3"/>
      <c r="D2" s="3"/>
      <c r="E2" s="3"/>
      <c r="F2" s="3"/>
      <c r="G2" s="3"/>
    </row>
    <row r="3" spans="2:8" ht="15.5" thickTop="1" thickBot="1" x14ac:dyDescent="0.4">
      <c r="B3" s="78"/>
      <c r="C3" s="203" t="s">
        <v>7</v>
      </c>
      <c r="D3" s="203"/>
      <c r="E3" s="203"/>
      <c r="F3" s="203"/>
      <c r="G3" s="203"/>
    </row>
    <row r="4" spans="2:8" ht="49.5" customHeight="1" x14ac:dyDescent="0.35">
      <c r="B4" s="135" t="s">
        <v>25</v>
      </c>
      <c r="C4" s="104" t="s">
        <v>24</v>
      </c>
      <c r="D4" s="105" t="s">
        <v>18</v>
      </c>
      <c r="E4" s="105" t="s">
        <v>13</v>
      </c>
      <c r="F4" s="105" t="s">
        <v>134</v>
      </c>
      <c r="G4" s="106" t="s">
        <v>139</v>
      </c>
      <c r="H4" s="151" t="s">
        <v>56</v>
      </c>
    </row>
    <row r="5" spans="2:8" x14ac:dyDescent="0.35">
      <c r="B5" s="4" t="s">
        <v>26</v>
      </c>
      <c r="C5" s="107">
        <v>12</v>
      </c>
      <c r="D5" s="108">
        <v>6</v>
      </c>
      <c r="E5" s="109" t="s">
        <v>22</v>
      </c>
      <c r="F5" s="110">
        <v>2</v>
      </c>
      <c r="G5" s="111">
        <v>20</v>
      </c>
      <c r="H5" s="152">
        <v>12</v>
      </c>
    </row>
    <row r="6" spans="2:8" x14ac:dyDescent="0.35">
      <c r="B6" s="4" t="s">
        <v>27</v>
      </c>
      <c r="C6" s="107">
        <v>22</v>
      </c>
      <c r="D6" s="108">
        <v>4</v>
      </c>
      <c r="E6" s="109" t="s">
        <v>22</v>
      </c>
      <c r="F6" s="110">
        <v>3</v>
      </c>
      <c r="G6" s="111">
        <v>29</v>
      </c>
      <c r="H6" s="152">
        <v>21</v>
      </c>
    </row>
    <row r="7" spans="2:8" x14ac:dyDescent="0.35">
      <c r="B7" s="4" t="s">
        <v>28</v>
      </c>
      <c r="C7" s="112">
        <v>13</v>
      </c>
      <c r="D7" s="109">
        <v>5</v>
      </c>
      <c r="E7" s="109" t="s">
        <v>22</v>
      </c>
      <c r="F7" s="110">
        <v>2</v>
      </c>
      <c r="G7" s="111">
        <v>20</v>
      </c>
      <c r="H7" s="152">
        <v>16</v>
      </c>
    </row>
    <row r="8" spans="2:8" x14ac:dyDescent="0.35">
      <c r="B8" s="4" t="s">
        <v>29</v>
      </c>
      <c r="C8" s="112">
        <v>37</v>
      </c>
      <c r="D8" s="109">
        <v>4</v>
      </c>
      <c r="E8" s="109" t="s">
        <v>22</v>
      </c>
      <c r="F8" s="110">
        <v>2</v>
      </c>
      <c r="G8" s="111">
        <v>43</v>
      </c>
      <c r="H8" s="152">
        <v>40</v>
      </c>
    </row>
    <row r="9" spans="2:8" x14ac:dyDescent="0.35">
      <c r="B9" s="4" t="s">
        <v>30</v>
      </c>
      <c r="C9" s="112">
        <v>33</v>
      </c>
      <c r="D9" s="109">
        <v>5</v>
      </c>
      <c r="E9" s="109" t="s">
        <v>22</v>
      </c>
      <c r="F9" s="110">
        <v>3</v>
      </c>
      <c r="G9" s="111">
        <v>41</v>
      </c>
      <c r="H9" s="152">
        <v>48</v>
      </c>
    </row>
    <row r="10" spans="2:8" x14ac:dyDescent="0.35">
      <c r="B10" s="4" t="s">
        <v>31</v>
      </c>
      <c r="C10" s="112">
        <v>25</v>
      </c>
      <c r="D10" s="109">
        <v>3</v>
      </c>
      <c r="E10" s="109" t="s">
        <v>22</v>
      </c>
      <c r="F10" s="110">
        <v>7</v>
      </c>
      <c r="G10" s="111">
        <v>35</v>
      </c>
      <c r="H10" s="152">
        <v>36</v>
      </c>
    </row>
    <row r="11" spans="2:8" x14ac:dyDescent="0.35">
      <c r="B11" s="4" t="s">
        <v>32</v>
      </c>
      <c r="C11" s="112">
        <v>27</v>
      </c>
      <c r="D11" s="109">
        <v>3</v>
      </c>
      <c r="E11" s="109" t="s">
        <v>22</v>
      </c>
      <c r="F11" s="110">
        <v>5</v>
      </c>
      <c r="G11" s="111">
        <v>35</v>
      </c>
      <c r="H11" s="152">
        <v>37</v>
      </c>
    </row>
    <row r="12" spans="2:8" x14ac:dyDescent="0.35">
      <c r="B12" s="4" t="s">
        <v>33</v>
      </c>
      <c r="C12" s="112">
        <v>36</v>
      </c>
      <c r="D12" s="109">
        <v>2</v>
      </c>
      <c r="E12" s="109" t="s">
        <v>22</v>
      </c>
      <c r="F12" s="110">
        <v>6</v>
      </c>
      <c r="G12" s="111">
        <v>44</v>
      </c>
      <c r="H12" s="152">
        <v>33</v>
      </c>
    </row>
    <row r="13" spans="2:8" x14ac:dyDescent="0.35">
      <c r="B13" s="4" t="s">
        <v>34</v>
      </c>
      <c r="C13" s="112">
        <v>36</v>
      </c>
      <c r="D13" s="109">
        <v>3</v>
      </c>
      <c r="E13" s="109" t="s">
        <v>22</v>
      </c>
      <c r="F13" s="110">
        <v>3</v>
      </c>
      <c r="G13" s="111">
        <v>42</v>
      </c>
      <c r="H13" s="152">
        <v>31</v>
      </c>
    </row>
    <row r="14" spans="2:8" x14ac:dyDescent="0.35">
      <c r="B14" s="4" t="s">
        <v>35</v>
      </c>
      <c r="C14" s="112">
        <v>33</v>
      </c>
      <c r="D14" s="109">
        <v>3</v>
      </c>
      <c r="E14" s="109" t="s">
        <v>22</v>
      </c>
      <c r="F14" s="110">
        <v>4</v>
      </c>
      <c r="G14" s="111">
        <v>40</v>
      </c>
      <c r="H14" s="152">
        <v>34</v>
      </c>
    </row>
    <row r="15" spans="2:8" x14ac:dyDescent="0.35">
      <c r="B15" s="4" t="s">
        <v>36</v>
      </c>
      <c r="C15" s="112">
        <v>36</v>
      </c>
      <c r="D15" s="109">
        <v>3</v>
      </c>
      <c r="E15" s="109" t="s">
        <v>22</v>
      </c>
      <c r="F15" s="110">
        <v>4</v>
      </c>
      <c r="G15" s="111">
        <v>43</v>
      </c>
      <c r="H15" s="152">
        <v>34</v>
      </c>
    </row>
    <row r="16" spans="2:8" x14ac:dyDescent="0.35">
      <c r="B16" s="4" t="s">
        <v>37</v>
      </c>
      <c r="C16" s="112">
        <v>38</v>
      </c>
      <c r="D16" s="109">
        <v>2</v>
      </c>
      <c r="E16" s="109" t="s">
        <v>22</v>
      </c>
      <c r="F16" s="110">
        <v>3</v>
      </c>
      <c r="G16" s="111">
        <v>43</v>
      </c>
      <c r="H16" s="152">
        <v>25</v>
      </c>
    </row>
    <row r="17" spans="2:8" x14ac:dyDescent="0.35">
      <c r="B17" s="4" t="s">
        <v>38</v>
      </c>
      <c r="C17" s="112">
        <v>34</v>
      </c>
      <c r="D17" s="109" t="s">
        <v>22</v>
      </c>
      <c r="E17" s="109" t="s">
        <v>22</v>
      </c>
      <c r="F17" s="110">
        <v>4</v>
      </c>
      <c r="G17" s="111">
        <v>38</v>
      </c>
      <c r="H17" s="152">
        <v>15</v>
      </c>
    </row>
    <row r="18" spans="2:8" x14ac:dyDescent="0.35">
      <c r="B18" s="4" t="s">
        <v>39</v>
      </c>
      <c r="C18" s="112">
        <v>21</v>
      </c>
      <c r="D18" s="109" t="s">
        <v>22</v>
      </c>
      <c r="E18" s="109" t="s">
        <v>22</v>
      </c>
      <c r="F18" s="110">
        <v>4</v>
      </c>
      <c r="G18" s="111">
        <v>25</v>
      </c>
      <c r="H18" s="152">
        <v>24</v>
      </c>
    </row>
    <row r="19" spans="2:8" x14ac:dyDescent="0.35">
      <c r="B19" s="4" t="s">
        <v>40</v>
      </c>
      <c r="C19" s="112">
        <v>29</v>
      </c>
      <c r="D19" s="109" t="s">
        <v>22</v>
      </c>
      <c r="E19" s="109" t="s">
        <v>22</v>
      </c>
      <c r="F19" s="110">
        <v>3</v>
      </c>
      <c r="G19" s="111">
        <v>32</v>
      </c>
      <c r="H19" s="152">
        <v>38</v>
      </c>
    </row>
    <row r="20" spans="2:8" x14ac:dyDescent="0.35">
      <c r="B20" s="4" t="s">
        <v>41</v>
      </c>
      <c r="C20" s="112">
        <v>38</v>
      </c>
      <c r="D20" s="109">
        <v>2</v>
      </c>
      <c r="E20" s="109" t="s">
        <v>22</v>
      </c>
      <c r="F20" s="110">
        <v>3</v>
      </c>
      <c r="G20" s="111">
        <v>43</v>
      </c>
      <c r="H20" s="152">
        <v>18</v>
      </c>
    </row>
    <row r="21" spans="2:8" x14ac:dyDescent="0.35">
      <c r="B21" s="4" t="s">
        <v>42</v>
      </c>
      <c r="C21" s="112">
        <v>27</v>
      </c>
      <c r="D21" s="109">
        <v>2</v>
      </c>
      <c r="E21" s="109" t="s">
        <v>22</v>
      </c>
      <c r="F21" s="110">
        <v>5</v>
      </c>
      <c r="G21" s="111">
        <v>34</v>
      </c>
      <c r="H21" s="152">
        <v>25</v>
      </c>
    </row>
    <row r="22" spans="2:8" x14ac:dyDescent="0.35">
      <c r="B22" s="4" t="s">
        <v>43</v>
      </c>
      <c r="C22" s="112">
        <v>31</v>
      </c>
      <c r="D22" s="109">
        <v>2</v>
      </c>
      <c r="E22" s="109" t="s">
        <v>22</v>
      </c>
      <c r="F22" s="110">
        <v>5</v>
      </c>
      <c r="G22" s="111">
        <v>38</v>
      </c>
      <c r="H22" s="152">
        <v>21</v>
      </c>
    </row>
    <row r="23" spans="2:8" x14ac:dyDescent="0.35">
      <c r="B23" s="4" t="s">
        <v>44</v>
      </c>
      <c r="C23" s="112">
        <v>28</v>
      </c>
      <c r="D23" s="109">
        <v>3</v>
      </c>
      <c r="E23" s="109" t="s">
        <v>22</v>
      </c>
      <c r="F23" s="110">
        <v>4</v>
      </c>
      <c r="G23" s="111">
        <v>35</v>
      </c>
      <c r="H23" s="152">
        <v>29</v>
      </c>
    </row>
    <row r="24" spans="2:8" x14ac:dyDescent="0.35">
      <c r="B24" s="4" t="s">
        <v>45</v>
      </c>
      <c r="C24" s="112">
        <v>37</v>
      </c>
      <c r="D24" s="109">
        <v>2</v>
      </c>
      <c r="E24" s="109" t="s">
        <v>22</v>
      </c>
      <c r="F24" s="110">
        <v>4</v>
      </c>
      <c r="G24" s="111">
        <v>43</v>
      </c>
      <c r="H24" s="152">
        <v>27</v>
      </c>
    </row>
    <row r="25" spans="2:8" x14ac:dyDescent="0.35">
      <c r="B25" s="4" t="s">
        <v>46</v>
      </c>
      <c r="C25" s="112">
        <v>24</v>
      </c>
      <c r="D25" s="109">
        <v>2</v>
      </c>
      <c r="E25" s="109" t="s">
        <v>22</v>
      </c>
      <c r="F25" s="110">
        <v>4</v>
      </c>
      <c r="G25" s="111">
        <v>30</v>
      </c>
      <c r="H25" s="152">
        <v>42</v>
      </c>
    </row>
    <row r="26" spans="2:8" x14ac:dyDescent="0.35">
      <c r="B26" s="4" t="s">
        <v>47</v>
      </c>
      <c r="C26" s="112">
        <v>30</v>
      </c>
      <c r="D26" s="109">
        <v>2</v>
      </c>
      <c r="E26" s="109" t="s">
        <v>22</v>
      </c>
      <c r="F26" s="110">
        <v>3</v>
      </c>
      <c r="G26" s="111">
        <v>35</v>
      </c>
      <c r="H26" s="152">
        <v>56</v>
      </c>
    </row>
    <row r="27" spans="2:8" x14ac:dyDescent="0.35">
      <c r="B27" s="4" t="s">
        <v>48</v>
      </c>
      <c r="C27" s="112">
        <v>37</v>
      </c>
      <c r="D27" s="109">
        <v>2</v>
      </c>
      <c r="E27" s="109" t="s">
        <v>22</v>
      </c>
      <c r="F27" s="110">
        <v>5</v>
      </c>
      <c r="G27" s="111">
        <v>44</v>
      </c>
      <c r="H27" s="152">
        <v>24</v>
      </c>
    </row>
    <row r="28" spans="2:8" x14ac:dyDescent="0.35">
      <c r="B28" s="4" t="s">
        <v>49</v>
      </c>
      <c r="C28" s="112">
        <v>34</v>
      </c>
      <c r="D28" s="109">
        <v>2</v>
      </c>
      <c r="E28" s="109" t="s">
        <v>22</v>
      </c>
      <c r="F28" s="110">
        <v>6</v>
      </c>
      <c r="G28" s="111">
        <v>42</v>
      </c>
      <c r="H28" s="152">
        <v>16</v>
      </c>
    </row>
    <row r="29" spans="2:8" x14ac:dyDescent="0.35">
      <c r="B29" s="4" t="s">
        <v>50</v>
      </c>
      <c r="C29" s="112">
        <v>31</v>
      </c>
      <c r="D29" s="109">
        <v>5</v>
      </c>
      <c r="E29" s="109">
        <v>25</v>
      </c>
      <c r="F29" s="110">
        <v>7</v>
      </c>
      <c r="G29" s="111">
        <v>68</v>
      </c>
      <c r="H29" s="152">
        <v>52</v>
      </c>
    </row>
    <row r="30" spans="2:8" x14ac:dyDescent="0.35">
      <c r="B30" s="4" t="s">
        <v>51</v>
      </c>
      <c r="C30" s="112">
        <v>38</v>
      </c>
      <c r="D30" s="109">
        <v>3</v>
      </c>
      <c r="E30" s="109">
        <v>5</v>
      </c>
      <c r="F30" s="110">
        <v>5</v>
      </c>
      <c r="G30" s="111">
        <v>51</v>
      </c>
      <c r="H30" s="152">
        <v>41</v>
      </c>
    </row>
    <row r="31" spans="2:8" x14ac:dyDescent="0.35">
      <c r="B31" s="4" t="s">
        <v>52</v>
      </c>
      <c r="C31" s="112">
        <v>32</v>
      </c>
      <c r="D31" s="109">
        <v>2</v>
      </c>
      <c r="E31" s="109">
        <v>13</v>
      </c>
      <c r="F31" s="110">
        <v>5</v>
      </c>
      <c r="G31" s="111">
        <v>52</v>
      </c>
      <c r="H31" s="152">
        <v>42</v>
      </c>
    </row>
    <row r="32" spans="2:8" x14ac:dyDescent="0.35">
      <c r="B32" s="4" t="s">
        <v>53</v>
      </c>
      <c r="C32" s="112">
        <v>45</v>
      </c>
      <c r="D32" s="109" t="s">
        <v>22</v>
      </c>
      <c r="E32" s="109" t="s">
        <v>22</v>
      </c>
      <c r="F32" s="110">
        <v>9</v>
      </c>
      <c r="G32" s="111">
        <v>54</v>
      </c>
      <c r="H32" s="152">
        <v>39</v>
      </c>
    </row>
    <row r="33" spans="2:8" x14ac:dyDescent="0.35">
      <c r="B33" s="4" t="s">
        <v>54</v>
      </c>
      <c r="C33" s="112">
        <v>39</v>
      </c>
      <c r="D33" s="109" t="s">
        <v>22</v>
      </c>
      <c r="E33" s="109" t="s">
        <v>22</v>
      </c>
      <c r="F33" s="110">
        <v>6</v>
      </c>
      <c r="G33" s="111">
        <v>45</v>
      </c>
      <c r="H33" s="152">
        <v>23</v>
      </c>
    </row>
    <row r="34" spans="2:8" x14ac:dyDescent="0.35">
      <c r="B34" s="34" t="s">
        <v>55</v>
      </c>
      <c r="C34" s="113">
        <v>45</v>
      </c>
      <c r="D34" s="80">
        <v>3</v>
      </c>
      <c r="E34" s="80" t="s">
        <v>22</v>
      </c>
      <c r="F34" s="79">
        <v>8</v>
      </c>
      <c r="G34" s="114">
        <v>56</v>
      </c>
      <c r="H34" s="153">
        <v>47</v>
      </c>
    </row>
    <row r="35" spans="2:8" ht="15" thickBot="1" x14ac:dyDescent="0.4">
      <c r="B35" s="34" t="s">
        <v>20</v>
      </c>
      <c r="C35" s="115">
        <f>SUM(C5:C34)</f>
        <v>948</v>
      </c>
      <c r="D35" s="116">
        <f t="shared" ref="D35:G35" si="0">SUM(D5:D34)</f>
        <v>75</v>
      </c>
      <c r="E35" s="116">
        <f t="shared" si="0"/>
        <v>43</v>
      </c>
      <c r="F35" s="116">
        <f t="shared" si="0"/>
        <v>134</v>
      </c>
      <c r="G35" s="117">
        <f t="shared" si="0"/>
        <v>1200</v>
      </c>
      <c r="H35" s="153">
        <v>946</v>
      </c>
    </row>
    <row r="36" spans="2:8" ht="15.5" x14ac:dyDescent="0.35">
      <c r="B36" s="9" t="s">
        <v>172</v>
      </c>
      <c r="C36" s="4"/>
    </row>
  </sheetData>
  <mergeCells count="1">
    <mergeCell ref="C3:G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7"/>
  <sheetViews>
    <sheetView workbookViewId="0"/>
  </sheetViews>
  <sheetFormatPr defaultRowHeight="14.5" x14ac:dyDescent="0.35"/>
  <cols>
    <col min="2" max="2" width="14.81640625" customWidth="1"/>
    <col min="3" max="3" width="8.81640625" bestFit="1" customWidth="1"/>
    <col min="4" max="6" width="9.26953125" bestFit="1" customWidth="1"/>
    <col min="7" max="7" width="8.7265625" bestFit="1" customWidth="1"/>
    <col min="8" max="8" width="9.26953125" bestFit="1" customWidth="1"/>
    <col min="9" max="9" width="13.81640625" customWidth="1"/>
  </cols>
  <sheetData>
    <row r="2" spans="2:10" ht="16" thickBot="1" x14ac:dyDescent="0.4">
      <c r="B2" s="58" t="s">
        <v>176</v>
      </c>
      <c r="C2" s="38"/>
      <c r="D2" s="38"/>
      <c r="E2" s="38"/>
      <c r="F2" s="38"/>
      <c r="G2" s="38"/>
      <c r="H2" s="38"/>
      <c r="I2" s="38"/>
      <c r="J2" s="38"/>
    </row>
    <row r="3" spans="2:10" ht="28.5" thickBot="1" x14ac:dyDescent="0.4">
      <c r="B3" s="138" t="s">
        <v>107</v>
      </c>
      <c r="C3" s="138" t="s">
        <v>108</v>
      </c>
      <c r="D3" s="138" t="s">
        <v>109</v>
      </c>
      <c r="E3" s="138" t="s">
        <v>110</v>
      </c>
      <c r="F3" s="204" t="s">
        <v>111</v>
      </c>
      <c r="G3" s="204"/>
      <c r="H3" s="138" t="s">
        <v>112</v>
      </c>
      <c r="I3" s="138" t="s">
        <v>113</v>
      </c>
    </row>
    <row r="4" spans="2:10" ht="15" thickBot="1" x14ac:dyDescent="0.4">
      <c r="F4" s="138" t="s">
        <v>114</v>
      </c>
      <c r="G4" s="138" t="s">
        <v>115</v>
      </c>
    </row>
    <row r="5" spans="2:10" ht="15.5" x14ac:dyDescent="0.35">
      <c r="B5" s="4" t="s">
        <v>57</v>
      </c>
      <c r="C5" s="74">
        <v>244095.17245511338</v>
      </c>
      <c r="D5" s="74">
        <v>6391.0422484599721</v>
      </c>
      <c r="E5" s="75">
        <v>2.6182583556154597E-2</v>
      </c>
      <c r="F5" s="74">
        <v>231555.0734537493</v>
      </c>
      <c r="G5" s="74">
        <v>256635.27145647747</v>
      </c>
      <c r="H5" s="75">
        <v>0.15873685997547338</v>
      </c>
      <c r="I5" s="74">
        <v>8368</v>
      </c>
    </row>
    <row r="6" spans="2:10" ht="15.5" x14ac:dyDescent="0.35">
      <c r="B6" s="4" t="s">
        <v>58</v>
      </c>
      <c r="C6" s="74">
        <v>40352.802594268978</v>
      </c>
      <c r="D6" s="74">
        <v>3833.1864251237339</v>
      </c>
      <c r="E6" s="75">
        <v>9.4991826557001877E-2</v>
      </c>
      <c r="F6" s="74">
        <v>32831.566559048049</v>
      </c>
      <c r="G6" s="74">
        <v>47874.038629489907</v>
      </c>
      <c r="H6" s="75">
        <v>0.82053003648900513</v>
      </c>
      <c r="I6" s="74">
        <v>624</v>
      </c>
    </row>
    <row r="7" spans="2:10" ht="15.5" x14ac:dyDescent="0.35">
      <c r="B7" s="4" t="s">
        <v>67</v>
      </c>
      <c r="C7" s="74">
        <v>327147.00640507304</v>
      </c>
      <c r="D7" s="74">
        <v>7167.4341203939102</v>
      </c>
      <c r="E7" s="75">
        <v>2.1908909389558043E-2</v>
      </c>
      <c r="F7" s="74">
        <v>313083.52036300336</v>
      </c>
      <c r="G7" s="74">
        <v>341210.49244714272</v>
      </c>
      <c r="H7" s="75">
        <v>1.5366768324638658</v>
      </c>
      <c r="I7" s="74">
        <v>8331</v>
      </c>
    </row>
    <row r="8" spans="2:10" ht="15.5" x14ac:dyDescent="0.35">
      <c r="B8" s="4" t="s">
        <v>59</v>
      </c>
      <c r="C8" s="74">
        <v>17311.609053788583</v>
      </c>
      <c r="D8" s="74">
        <v>86.334227906985731</v>
      </c>
      <c r="E8" s="75">
        <v>4.9870712559842495E-3</v>
      </c>
      <c r="F8" s="74">
        <v>17142.20949060766</v>
      </c>
      <c r="G8" s="74">
        <v>17481.008616969506</v>
      </c>
      <c r="H8" s="75">
        <v>1.1937587048084319E-5</v>
      </c>
      <c r="I8" s="74">
        <v>2544</v>
      </c>
    </row>
    <row r="9" spans="2:10" ht="15.5" x14ac:dyDescent="0.35">
      <c r="B9" s="4" t="s">
        <v>63</v>
      </c>
      <c r="C9" s="74">
        <v>54485.239544348246</v>
      </c>
      <c r="D9" s="74">
        <v>3432.3686570713771</v>
      </c>
      <c r="E9" s="75">
        <v>6.2996302957934167E-2</v>
      </c>
      <c r="F9" s="74">
        <v>47750.462790333528</v>
      </c>
      <c r="G9" s="74">
        <v>61220.016298362963</v>
      </c>
      <c r="H9" s="75">
        <v>1.1438393069586623</v>
      </c>
      <c r="I9" s="74">
        <v>1559</v>
      </c>
    </row>
    <row r="10" spans="2:10" ht="15.5" x14ac:dyDescent="0.35">
      <c r="B10" s="4" t="s">
        <v>62</v>
      </c>
      <c r="C10" s="74">
        <v>82457.899423947412</v>
      </c>
      <c r="D10" s="74">
        <v>2827.8773901168242</v>
      </c>
      <c r="E10" s="75">
        <v>3.4294802679578719E-2</v>
      </c>
      <c r="F10" s="74">
        <v>76909.217212633725</v>
      </c>
      <c r="G10" s="74">
        <v>88006.5816352611</v>
      </c>
      <c r="H10" s="75">
        <v>2.3720245882720983</v>
      </c>
      <c r="I10" s="74">
        <v>1627</v>
      </c>
    </row>
    <row r="11" spans="2:10" ht="15.5" x14ac:dyDescent="0.35">
      <c r="B11" s="4" t="s">
        <v>76</v>
      </c>
      <c r="C11" s="74">
        <v>20780.132475566199</v>
      </c>
      <c r="D11" s="74">
        <v>1395.6895348385781</v>
      </c>
      <c r="E11" s="75">
        <v>6.7706744058633334E-2</v>
      </c>
      <c r="F11" s="74">
        <v>17875.210918218432</v>
      </c>
      <c r="G11" s="74">
        <v>23352.278432914016</v>
      </c>
      <c r="H11" s="75">
        <v>0.54267124728316374</v>
      </c>
      <c r="I11" s="74">
        <v>766</v>
      </c>
    </row>
    <row r="12" spans="2:10" ht="15.5" x14ac:dyDescent="0.35">
      <c r="B12" s="4" t="s">
        <v>64</v>
      </c>
      <c r="C12" s="74">
        <v>104232.20077573156</v>
      </c>
      <c r="D12" s="74">
        <v>4333.3053658442668</v>
      </c>
      <c r="E12" s="75">
        <v>4.1573576434099362E-2</v>
      </c>
      <c r="F12" s="74">
        <v>95729.662976998734</v>
      </c>
      <c r="G12" s="74">
        <v>112734.73857446438</v>
      </c>
      <c r="H12" s="75">
        <v>1.3079177175725429</v>
      </c>
      <c r="I12" s="74">
        <v>3137</v>
      </c>
    </row>
    <row r="13" spans="2:10" ht="15.5" x14ac:dyDescent="0.35">
      <c r="B13" s="4" t="s">
        <v>65</v>
      </c>
      <c r="C13" s="74">
        <v>40539.733330359588</v>
      </c>
      <c r="D13" s="74">
        <v>1770.5637518015192</v>
      </c>
      <c r="E13" s="75">
        <v>4.3674775494282073E-2</v>
      </c>
      <c r="F13" s="74">
        <v>37065.645087371071</v>
      </c>
      <c r="G13" s="74">
        <v>44013.821573348105</v>
      </c>
      <c r="H13" s="75">
        <v>1.7400112920118893</v>
      </c>
      <c r="I13" s="74">
        <v>3136</v>
      </c>
    </row>
    <row r="14" spans="2:10" ht="15.5" x14ac:dyDescent="0.35">
      <c r="B14" s="4" t="s">
        <v>66</v>
      </c>
      <c r="C14" s="74">
        <v>123779.89017597034</v>
      </c>
      <c r="D14" s="74">
        <v>4473.570622966894</v>
      </c>
      <c r="E14" s="75">
        <v>3.6141336178333094E-2</v>
      </c>
      <c r="F14" s="74">
        <v>115002.13275852926</v>
      </c>
      <c r="G14" s="74">
        <v>132557.64759341144</v>
      </c>
      <c r="H14" s="75">
        <v>1.3214884936142497</v>
      </c>
      <c r="I14" s="74">
        <v>3574</v>
      </c>
    </row>
    <row r="15" spans="2:10" ht="15.5" x14ac:dyDescent="0.35">
      <c r="B15" s="4" t="s">
        <v>61</v>
      </c>
      <c r="C15" s="74">
        <v>247838.99457381715</v>
      </c>
      <c r="D15" s="74">
        <v>6240.336301139494</v>
      </c>
      <c r="E15" s="75">
        <v>2.517899296626162E-2</v>
      </c>
      <c r="F15" s="74">
        <v>235594.60125331421</v>
      </c>
      <c r="G15" s="74">
        <v>260083.3878943201</v>
      </c>
      <c r="H15" s="75">
        <v>1.2899191324352783</v>
      </c>
      <c r="I15" s="74">
        <v>5155</v>
      </c>
    </row>
    <row r="16" spans="2:10" ht="15.5" x14ac:dyDescent="0.35">
      <c r="B16" s="4" t="s">
        <v>69</v>
      </c>
      <c r="C16" s="74">
        <v>10832.26320834915</v>
      </c>
      <c r="D16" s="74">
        <v>826.49919537937387</v>
      </c>
      <c r="E16" s="75">
        <v>7.6299770369532352E-2</v>
      </c>
      <c r="F16" s="74">
        <v>9210.5587458097907</v>
      </c>
      <c r="G16" s="74">
        <v>12453.967670888509</v>
      </c>
      <c r="H16" s="75">
        <v>1.2341824263251058</v>
      </c>
      <c r="I16" s="74">
        <v>468</v>
      </c>
    </row>
    <row r="17" spans="2:9" ht="15.5" x14ac:dyDescent="0.35">
      <c r="B17" s="4" t="s">
        <v>77</v>
      </c>
      <c r="C17" s="74">
        <v>14020.717468611965</v>
      </c>
      <c r="D17" s="74">
        <v>2760.1194064403189</v>
      </c>
      <c r="E17" s="75">
        <v>0.19686006886732935</v>
      </c>
      <c r="F17" s="74">
        <v>8604.9856886056168</v>
      </c>
      <c r="G17" s="74">
        <v>19436.449248618312</v>
      </c>
      <c r="H17" s="75">
        <v>0.41067452719181097</v>
      </c>
      <c r="I17" s="74">
        <v>612</v>
      </c>
    </row>
  </sheetData>
  <mergeCells count="1">
    <mergeCell ref="F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18"/>
  <sheetViews>
    <sheetView workbookViewId="0"/>
  </sheetViews>
  <sheetFormatPr defaultRowHeight="14.5" x14ac:dyDescent="0.35"/>
  <cols>
    <col min="2" max="2" width="14.81640625" customWidth="1"/>
    <col min="3" max="3" width="8.81640625" bestFit="1" customWidth="1"/>
    <col min="4" max="6" width="9.26953125" bestFit="1" customWidth="1"/>
    <col min="7" max="7" width="8.7265625" bestFit="1" customWidth="1"/>
    <col min="8" max="8" width="9.26953125" bestFit="1" customWidth="1"/>
    <col min="9" max="9" width="13.1796875" bestFit="1" customWidth="1"/>
  </cols>
  <sheetData>
    <row r="2" spans="2:11" ht="16" thickBot="1" x14ac:dyDescent="0.4">
      <c r="B2" s="58" t="s">
        <v>178</v>
      </c>
      <c r="C2" s="38"/>
      <c r="D2" s="38"/>
      <c r="E2" s="38"/>
      <c r="F2" s="38"/>
      <c r="G2" s="38"/>
      <c r="H2" s="38"/>
      <c r="I2" s="38"/>
      <c r="J2" s="38"/>
    </row>
    <row r="3" spans="2:11" ht="28.5" thickBot="1" x14ac:dyDescent="0.4">
      <c r="B3" s="138" t="s">
        <v>107</v>
      </c>
      <c r="C3" s="138" t="s">
        <v>108</v>
      </c>
      <c r="D3" s="138" t="s">
        <v>109</v>
      </c>
      <c r="E3" s="138" t="s">
        <v>110</v>
      </c>
      <c r="F3" s="204" t="s">
        <v>111</v>
      </c>
      <c r="G3" s="204"/>
      <c r="H3" s="138" t="s">
        <v>112</v>
      </c>
      <c r="I3" s="138" t="s">
        <v>113</v>
      </c>
    </row>
    <row r="4" spans="2:11" ht="15" thickBot="1" x14ac:dyDescent="0.4">
      <c r="F4" s="138" t="s">
        <v>114</v>
      </c>
      <c r="G4" s="138" t="s">
        <v>115</v>
      </c>
    </row>
    <row r="5" spans="2:11" ht="15.5" x14ac:dyDescent="0.35">
      <c r="B5" s="4" t="s">
        <v>57</v>
      </c>
      <c r="C5" s="74">
        <v>93004.986092411098</v>
      </c>
      <c r="D5" s="74">
        <v>3889.7642715221659</v>
      </c>
      <c r="E5" s="75">
        <v>4.1823179970773179E-2</v>
      </c>
      <c r="F5" s="74">
        <v>85372.721074076617</v>
      </c>
      <c r="G5" s="74">
        <v>100637.25111074558</v>
      </c>
      <c r="H5" s="75">
        <v>0.11073647399702009</v>
      </c>
      <c r="I5" s="74">
        <v>3340</v>
      </c>
    </row>
    <row r="6" spans="2:11" ht="15.5" x14ac:dyDescent="0.35">
      <c r="B6" s="4" t="s">
        <v>58</v>
      </c>
      <c r="C6" s="74">
        <v>107194.59401230546</v>
      </c>
      <c r="D6" s="74">
        <v>5137.1213796662687</v>
      </c>
      <c r="E6" s="75">
        <v>4.7923325117277371E-2</v>
      </c>
      <c r="F6" s="74">
        <v>97114.838771604991</v>
      </c>
      <c r="G6" s="74">
        <v>117274.34925300593</v>
      </c>
      <c r="H6" s="75">
        <v>1.1346719751820316</v>
      </c>
      <c r="I6" s="74">
        <v>1840</v>
      </c>
    </row>
    <row r="7" spans="2:11" ht="15.5" x14ac:dyDescent="0.35">
      <c r="B7" s="4" t="s">
        <v>59</v>
      </c>
      <c r="C7" s="74">
        <v>17969.566364999999</v>
      </c>
      <c r="D7" s="74">
        <v>87.495662664938109</v>
      </c>
      <c r="E7" s="75">
        <v>4.913104839092533E-3</v>
      </c>
      <c r="F7" s="74">
        <v>17636.950468341278</v>
      </c>
      <c r="G7" s="74">
        <v>17980.308080165025</v>
      </c>
      <c r="H7" s="75">
        <v>1.1512942416620185E-5</v>
      </c>
      <c r="I7" s="74">
        <v>2596</v>
      </c>
    </row>
    <row r="8" spans="2:11" ht="15.5" x14ac:dyDescent="0.35">
      <c r="B8" s="4" t="s">
        <v>62</v>
      </c>
      <c r="C8" s="74">
        <v>89679.289915340618</v>
      </c>
      <c r="D8" s="74">
        <v>3024.556113348619</v>
      </c>
      <c r="E8" s="75">
        <v>3.3726361082964326E-2</v>
      </c>
      <c r="F8" s="74">
        <v>83744.685088794955</v>
      </c>
      <c r="G8" s="74">
        <v>95613.894741886281</v>
      </c>
      <c r="H8" s="75">
        <v>2.4107122185144334</v>
      </c>
      <c r="I8" s="74">
        <v>1950</v>
      </c>
    </row>
    <row r="9" spans="2:11" ht="15.5" x14ac:dyDescent="0.35">
      <c r="B9" s="4" t="s">
        <v>63</v>
      </c>
      <c r="C9" s="74">
        <v>45939.540571233461</v>
      </c>
      <c r="D9" s="74">
        <v>3186.4882689103601</v>
      </c>
      <c r="E9" s="75">
        <v>6.9362649893492487E-2</v>
      </c>
      <c r="F9" s="74">
        <v>39687.202062139018</v>
      </c>
      <c r="G9" s="74">
        <v>52191.879080327904</v>
      </c>
      <c r="H9" s="75">
        <v>1.1846162285333239</v>
      </c>
      <c r="I9" s="74">
        <v>1474</v>
      </c>
    </row>
    <row r="10" spans="2:11" ht="15.5" x14ac:dyDescent="0.35">
      <c r="B10" s="4" t="s">
        <v>61</v>
      </c>
      <c r="C10" s="74">
        <v>196881.37428359009</v>
      </c>
      <c r="D10" s="74">
        <v>4946.5259933456109</v>
      </c>
      <c r="E10" s="75">
        <v>2.5128325134183283E-2</v>
      </c>
      <c r="F10" s="74">
        <v>187144.82425943142</v>
      </c>
      <c r="G10" s="74">
        <v>206556.3847890468</v>
      </c>
      <c r="H10" s="75">
        <v>1.3885570519434958</v>
      </c>
      <c r="I10" s="74">
        <v>5440</v>
      </c>
    </row>
    <row r="11" spans="2:11" ht="15.5" x14ac:dyDescent="0.35">
      <c r="B11" s="4" t="s">
        <v>74</v>
      </c>
      <c r="C11" s="74">
        <v>211973.73740798308</v>
      </c>
      <c r="D11" s="74">
        <v>6162.6205804327192</v>
      </c>
      <c r="E11" s="75">
        <v>2.9072566515971759E-2</v>
      </c>
      <c r="F11" s="74">
        <v>199881.80838759057</v>
      </c>
      <c r="G11" s="74">
        <v>224065.66642837558</v>
      </c>
      <c r="H11" s="75">
        <v>0.40825390364971453</v>
      </c>
      <c r="I11" s="74">
        <v>5320</v>
      </c>
    </row>
    <row r="12" spans="2:11" ht="15.5" x14ac:dyDescent="0.35">
      <c r="B12" s="4" t="s">
        <v>75</v>
      </c>
      <c r="C12" s="74">
        <v>123078</v>
      </c>
      <c r="D12" s="74">
        <v>4630.3210974462072</v>
      </c>
      <c r="E12" s="75">
        <v>3.7619994896202491E-2</v>
      </c>
      <c r="F12" s="74">
        <v>113996.0438323914</v>
      </c>
      <c r="G12" s="74">
        <v>132166.72733340747</v>
      </c>
      <c r="H12" s="75">
        <v>2.6055712760508434</v>
      </c>
      <c r="I12" s="74">
        <v>3030</v>
      </c>
      <c r="K12" s="145"/>
    </row>
    <row r="13" spans="2:11" ht="15.5" x14ac:dyDescent="0.35">
      <c r="B13" s="4" t="s">
        <v>69</v>
      </c>
      <c r="C13" s="74">
        <v>17803.148575578674</v>
      </c>
      <c r="D13" s="74">
        <v>1507.1353215672939</v>
      </c>
      <c r="E13" s="75">
        <v>8.4655549279338965E-2</v>
      </c>
      <c r="F13" s="74">
        <v>14845.93693246978</v>
      </c>
      <c r="G13" s="74">
        <v>20760.360218687569</v>
      </c>
      <c r="H13" s="75">
        <v>1.0878738987856804</v>
      </c>
      <c r="I13" s="74">
        <v>369</v>
      </c>
    </row>
    <row r="14" spans="2:11" ht="15.5" x14ac:dyDescent="0.35">
      <c r="B14" s="4" t="s">
        <v>64</v>
      </c>
      <c r="C14" s="74">
        <v>85220.604290151692</v>
      </c>
      <c r="D14" s="74">
        <v>3749.6222951507325</v>
      </c>
      <c r="E14" s="75">
        <v>4.3999010877514372E-2</v>
      </c>
      <c r="F14" s="74">
        <v>77863.317555640417</v>
      </c>
      <c r="G14" s="74">
        <v>92577.891024662968</v>
      </c>
      <c r="H14" s="75">
        <v>1.2694265053556135</v>
      </c>
      <c r="I14" s="74">
        <v>3306</v>
      </c>
      <c r="K14" t="s">
        <v>177</v>
      </c>
    </row>
    <row r="15" spans="2:11" ht="15.5" x14ac:dyDescent="0.35">
      <c r="B15" s="4" t="s">
        <v>65</v>
      </c>
      <c r="C15" s="74">
        <v>35831.653615672178</v>
      </c>
      <c r="D15" s="74">
        <v>1591.1931384028098</v>
      </c>
      <c r="E15" s="75">
        <v>4.4407471546522428E-2</v>
      </c>
      <c r="F15" s="74">
        <v>32709.508704074953</v>
      </c>
      <c r="G15" s="74">
        <v>38953.798527269399</v>
      </c>
      <c r="H15" s="75">
        <v>1.5516957846974038</v>
      </c>
      <c r="I15" s="74">
        <v>3254</v>
      </c>
    </row>
    <row r="16" spans="2:11" ht="15.5" x14ac:dyDescent="0.35">
      <c r="B16" s="4" t="s">
        <v>66</v>
      </c>
      <c r="C16" s="74">
        <v>117066.93677242164</v>
      </c>
      <c r="D16" s="74">
        <v>4308.1103096273555</v>
      </c>
      <c r="E16" s="75">
        <v>3.6800401790663836E-2</v>
      </c>
      <c r="F16" s="74">
        <v>108613.81794153992</v>
      </c>
      <c r="G16" s="74">
        <v>125520.05560330336</v>
      </c>
      <c r="H16" s="75">
        <v>1.2897425784096865</v>
      </c>
      <c r="I16" s="74">
        <v>3710</v>
      </c>
    </row>
    <row r="17" spans="2:9" ht="15.5" x14ac:dyDescent="0.35">
      <c r="B17" s="4" t="s">
        <v>76</v>
      </c>
      <c r="C17" s="74">
        <v>20699.341550000001</v>
      </c>
      <c r="D17" s="74">
        <v>1414.0244851789021</v>
      </c>
      <c r="E17" s="75">
        <v>6.9024732571180941E-2</v>
      </c>
      <c r="F17" s="74">
        <v>17711.250424401253</v>
      </c>
      <c r="G17" s="74">
        <v>23260.280576336954</v>
      </c>
      <c r="H17" s="75">
        <v>0.85980105724104561</v>
      </c>
      <c r="I17" s="74">
        <v>702</v>
      </c>
    </row>
    <row r="18" spans="2:9" ht="15.5" x14ac:dyDescent="0.35">
      <c r="B18" s="4" t="s">
        <v>77</v>
      </c>
      <c r="C18" s="74">
        <v>11944.942619054806</v>
      </c>
      <c r="D18" s="74">
        <v>2105.2859503525087</v>
      </c>
      <c r="E18" s="75">
        <v>0.17980589268218561</v>
      </c>
      <c r="F18" s="74">
        <v>7577.7919996073606</v>
      </c>
      <c r="G18" s="74">
        <v>15839.526742817718</v>
      </c>
      <c r="H18" s="75">
        <v>0.42090903783411387</v>
      </c>
      <c r="I18" s="74">
        <v>546</v>
      </c>
    </row>
  </sheetData>
  <mergeCells count="1">
    <mergeCell ref="F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8"/>
  <sheetViews>
    <sheetView workbookViewId="0"/>
  </sheetViews>
  <sheetFormatPr defaultRowHeight="14.5" x14ac:dyDescent="0.35"/>
  <cols>
    <col min="2" max="2" width="12.90625" customWidth="1"/>
    <col min="7" max="7" width="9.453125" customWidth="1"/>
    <col min="9" max="9" width="8.90625" customWidth="1"/>
  </cols>
  <sheetData>
    <row r="2" spans="2:9" ht="16" thickBot="1" x14ac:dyDescent="0.4">
      <c r="B2" s="58" t="s">
        <v>222</v>
      </c>
      <c r="C2" s="38"/>
      <c r="D2" s="38"/>
      <c r="E2" s="38"/>
      <c r="F2" s="38"/>
      <c r="G2" s="38"/>
      <c r="H2" s="38"/>
      <c r="I2" s="38"/>
    </row>
    <row r="3" spans="2:9" ht="42.5" thickBot="1" x14ac:dyDescent="0.4">
      <c r="B3" s="138" t="s">
        <v>107</v>
      </c>
      <c r="C3" s="138" t="s">
        <v>108</v>
      </c>
      <c r="D3" s="138" t="s">
        <v>109</v>
      </c>
      <c r="E3" s="138" t="s">
        <v>110</v>
      </c>
      <c r="F3" s="204" t="s">
        <v>111</v>
      </c>
      <c r="G3" s="204"/>
      <c r="H3" s="138" t="s">
        <v>112</v>
      </c>
      <c r="I3" s="138" t="s">
        <v>113</v>
      </c>
    </row>
    <row r="4" spans="2:9" ht="15" thickBot="1" x14ac:dyDescent="0.4">
      <c r="F4" s="138" t="s">
        <v>114</v>
      </c>
      <c r="G4" s="138" t="s">
        <v>115</v>
      </c>
    </row>
    <row r="5" spans="2:9" ht="15.5" x14ac:dyDescent="0.35">
      <c r="B5" s="4" t="s">
        <v>62</v>
      </c>
      <c r="C5" s="74">
        <v>9686.8477521760778</v>
      </c>
      <c r="D5" s="74">
        <v>819.68382849503894</v>
      </c>
      <c r="E5" s="75">
        <v>8.4618221475701735E-2</v>
      </c>
      <c r="F5" s="74">
        <v>8077.7644280872473</v>
      </c>
      <c r="G5" s="74">
        <v>11295.931076264907</v>
      </c>
      <c r="H5" s="75">
        <v>4.7369923632621074</v>
      </c>
      <c r="I5" s="74">
        <v>833</v>
      </c>
    </row>
    <row r="6" spans="2:9" ht="15.5" x14ac:dyDescent="0.35">
      <c r="B6" s="4" t="s">
        <v>63</v>
      </c>
      <c r="C6" s="74">
        <v>11033.958977165874</v>
      </c>
      <c r="D6" s="74">
        <v>1632.4093312055888</v>
      </c>
      <c r="E6" s="75">
        <v>0.14794411820668932</v>
      </c>
      <c r="F6" s="74">
        <v>7829.4518957555065</v>
      </c>
      <c r="G6" s="74">
        <v>14238.466058576241</v>
      </c>
      <c r="H6" s="75">
        <v>2.4296099171908128</v>
      </c>
      <c r="I6" s="74">
        <v>426</v>
      </c>
    </row>
    <row r="7" spans="2:9" ht="15.5" x14ac:dyDescent="0.35">
      <c r="B7" s="4" t="s">
        <v>74</v>
      </c>
      <c r="C7" s="74">
        <v>3415.2521255402144</v>
      </c>
      <c r="D7" s="74">
        <v>436.71233430899457</v>
      </c>
      <c r="E7" s="75">
        <v>0.12787118439752576</v>
      </c>
      <c r="F7" s="74">
        <v>2557.9623875558782</v>
      </c>
      <c r="G7" s="74">
        <v>4272.5418635245505</v>
      </c>
      <c r="H7" s="75">
        <v>1.1375828006934365</v>
      </c>
      <c r="I7" s="74">
        <v>287</v>
      </c>
    </row>
    <row r="8" spans="2:9" ht="15.5" x14ac:dyDescent="0.35">
      <c r="B8" t="s">
        <v>76</v>
      </c>
      <c r="C8" s="74">
        <v>6440.2813015787697</v>
      </c>
      <c r="D8" s="74">
        <v>581.51316087240195</v>
      </c>
      <c r="E8" s="75">
        <v>9.029313063232966E-2</v>
      </c>
      <c r="F8" s="74">
        <v>5298.7397737729289</v>
      </c>
      <c r="G8" s="74">
        <v>7581.8228293846105</v>
      </c>
      <c r="H8" s="75">
        <v>1.0235603381038416</v>
      </c>
      <c r="I8" s="74">
        <v>550</v>
      </c>
    </row>
  </sheetData>
  <mergeCells count="1">
    <mergeCell ref="F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AC37"/>
  <sheetViews>
    <sheetView zoomScale="85" zoomScaleNormal="85" workbookViewId="0">
      <selection activeCell="B1" sqref="B1"/>
    </sheetView>
  </sheetViews>
  <sheetFormatPr defaultRowHeight="14.5" x14ac:dyDescent="0.35"/>
  <cols>
    <col min="2" max="2" width="11.1796875" bestFit="1" customWidth="1"/>
    <col min="4" max="8" width="9.26953125" bestFit="1" customWidth="1"/>
    <col min="10" max="17" width="9.26953125" bestFit="1" customWidth="1"/>
    <col min="18" max="18" width="4.81640625" bestFit="1" customWidth="1"/>
    <col min="19" max="19" width="9.26953125" bestFit="1" customWidth="1"/>
    <col min="20" max="24" width="7.1796875" bestFit="1" customWidth="1"/>
    <col min="25" max="25" width="6.7265625" bestFit="1" customWidth="1"/>
    <col min="26" max="28" width="8.1796875" bestFit="1" customWidth="1"/>
    <col min="29" max="29" width="8.54296875" bestFit="1" customWidth="1"/>
  </cols>
  <sheetData>
    <row r="2" spans="2:29" ht="16" thickBot="1" x14ac:dyDescent="0.4">
      <c r="B2" s="19" t="s">
        <v>183</v>
      </c>
      <c r="C2" s="43" t="s">
        <v>173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4"/>
      <c r="X2" s="44"/>
      <c r="Y2" s="44"/>
      <c r="Z2" s="44"/>
      <c r="AA2" s="44"/>
      <c r="AB2" s="44"/>
      <c r="AC2" s="44"/>
    </row>
    <row r="3" spans="2:29" ht="119.25" customHeight="1" x14ac:dyDescent="0.35">
      <c r="B3" s="45" t="s">
        <v>25</v>
      </c>
      <c r="C3" s="46" t="s">
        <v>135</v>
      </c>
      <c r="D3" s="46" t="s">
        <v>57</v>
      </c>
      <c r="E3" s="47" t="s">
        <v>58</v>
      </c>
      <c r="F3" s="47" t="s">
        <v>59</v>
      </c>
      <c r="G3" s="47" t="s">
        <v>60</v>
      </c>
      <c r="H3" s="47" t="s">
        <v>72</v>
      </c>
      <c r="I3" s="46" t="s">
        <v>88</v>
      </c>
      <c r="J3" s="47" t="s">
        <v>61</v>
      </c>
      <c r="K3" s="47" t="s">
        <v>62</v>
      </c>
      <c r="L3" s="47" t="s">
        <v>63</v>
      </c>
      <c r="M3" s="47" t="s">
        <v>73</v>
      </c>
      <c r="N3" s="46" t="s">
        <v>90</v>
      </c>
      <c r="O3" s="47" t="s">
        <v>64</v>
      </c>
      <c r="P3" s="47" t="s">
        <v>65</v>
      </c>
      <c r="Q3" s="47" t="s">
        <v>66</v>
      </c>
      <c r="R3" s="46" t="s">
        <v>91</v>
      </c>
      <c r="S3" s="47" t="s">
        <v>82</v>
      </c>
      <c r="T3" s="47" t="s">
        <v>74</v>
      </c>
      <c r="U3" s="47" t="s">
        <v>75</v>
      </c>
      <c r="V3" s="47" t="s">
        <v>68</v>
      </c>
      <c r="W3" s="47" t="s">
        <v>136</v>
      </c>
      <c r="X3" s="47" t="s">
        <v>70</v>
      </c>
      <c r="Y3" s="46" t="s">
        <v>137</v>
      </c>
      <c r="Z3" s="47" t="s">
        <v>83</v>
      </c>
      <c r="AA3" s="47" t="s">
        <v>77</v>
      </c>
      <c r="AB3" s="47" t="s">
        <v>84</v>
      </c>
      <c r="AC3" s="47" t="s">
        <v>78</v>
      </c>
    </row>
    <row r="4" spans="2:29" ht="15.5" x14ac:dyDescent="0.35">
      <c r="B4" s="48" t="s">
        <v>26</v>
      </c>
      <c r="C4" s="49"/>
      <c r="D4" s="50">
        <v>1337.693</v>
      </c>
      <c r="E4" s="50">
        <v>0</v>
      </c>
      <c r="F4" s="50">
        <v>0</v>
      </c>
      <c r="G4" s="50">
        <v>0</v>
      </c>
      <c r="H4" s="50">
        <v>0</v>
      </c>
      <c r="I4" s="50"/>
      <c r="J4" s="50">
        <v>11627.209999999997</v>
      </c>
      <c r="K4" s="50">
        <v>5915.8630000000003</v>
      </c>
      <c r="L4" s="50">
        <v>2507.9650000000001</v>
      </c>
      <c r="M4" s="50">
        <v>0</v>
      </c>
      <c r="N4" s="50">
        <v>11273.735992718643</v>
      </c>
      <c r="O4" s="50">
        <v>12199.67</v>
      </c>
      <c r="P4" s="50">
        <v>10046.040000000001</v>
      </c>
      <c r="Q4" s="50">
        <v>11233.95</v>
      </c>
      <c r="R4" s="50"/>
      <c r="S4" s="50">
        <v>557.06765609551508</v>
      </c>
      <c r="T4" s="50">
        <v>544.89700000000005</v>
      </c>
      <c r="U4" s="50">
        <v>1046.6980000000001</v>
      </c>
      <c r="V4" s="50">
        <v>0</v>
      </c>
      <c r="W4" s="50">
        <v>311.70609999999999</v>
      </c>
      <c r="X4" s="50">
        <v>439.77040000000005</v>
      </c>
      <c r="Y4" s="50"/>
      <c r="Z4" s="50">
        <v>5107.3331792411991</v>
      </c>
      <c r="AA4" s="50">
        <v>0</v>
      </c>
      <c r="AB4" s="50">
        <v>7347.8070000000007</v>
      </c>
      <c r="AC4" s="50">
        <v>5041.7965591772654</v>
      </c>
    </row>
    <row r="5" spans="2:29" ht="15.5" x14ac:dyDescent="0.35">
      <c r="B5" s="48" t="s">
        <v>27</v>
      </c>
      <c r="C5" s="49"/>
      <c r="D5" s="50">
        <v>1581.5920732262625</v>
      </c>
      <c r="E5" s="50">
        <v>0</v>
      </c>
      <c r="F5" s="50">
        <v>4185.6843735648436</v>
      </c>
      <c r="G5" s="50">
        <v>0</v>
      </c>
      <c r="H5" s="50">
        <v>1329.3870000000002</v>
      </c>
      <c r="I5" s="50"/>
      <c r="J5" s="50">
        <v>12694.33</v>
      </c>
      <c r="K5" s="50">
        <v>8436.3826865338378</v>
      </c>
      <c r="L5" s="50">
        <v>5689.4290000000001</v>
      </c>
      <c r="M5" s="50">
        <v>6815.26</v>
      </c>
      <c r="N5" s="50">
        <v>10654.353761924407</v>
      </c>
      <c r="O5" s="50">
        <v>12461.205719407641</v>
      </c>
      <c r="P5" s="50">
        <v>7286.348208689692</v>
      </c>
      <c r="Q5" s="50">
        <v>10481.869396972117</v>
      </c>
      <c r="R5" s="50"/>
      <c r="S5" s="50">
        <v>637.38213676862119</v>
      </c>
      <c r="T5" s="50">
        <v>630.86697162645294</v>
      </c>
      <c r="U5" s="50">
        <v>914.77290000000016</v>
      </c>
      <c r="V5" s="50">
        <v>600.25099999999986</v>
      </c>
      <c r="W5" s="50">
        <v>465.48829999999998</v>
      </c>
      <c r="X5" s="50">
        <v>529.7785476510453</v>
      </c>
      <c r="Y5" s="50"/>
      <c r="Z5" s="50">
        <v>9476.7071009963856</v>
      </c>
      <c r="AA5" s="50">
        <v>9554.9407372581827</v>
      </c>
      <c r="AB5" s="50">
        <v>10730.690867277583</v>
      </c>
      <c r="AC5" s="50">
        <v>11603.161911917861</v>
      </c>
    </row>
    <row r="6" spans="2:29" ht="15.5" x14ac:dyDescent="0.35">
      <c r="B6" s="48" t="s">
        <v>28</v>
      </c>
      <c r="C6" s="49"/>
      <c r="D6" s="50">
        <v>1558.5185693529388</v>
      </c>
      <c r="E6" s="50">
        <v>0</v>
      </c>
      <c r="F6" s="50">
        <v>4597.8370460867482</v>
      </c>
      <c r="G6" s="50">
        <v>0</v>
      </c>
      <c r="H6" s="50">
        <v>0</v>
      </c>
      <c r="I6" s="50"/>
      <c r="J6" s="50">
        <v>10266.74</v>
      </c>
      <c r="K6" s="50">
        <v>7862.0839999999998</v>
      </c>
      <c r="L6" s="50">
        <v>0</v>
      </c>
      <c r="M6" s="50">
        <v>5992.7452726406063</v>
      </c>
      <c r="N6" s="50">
        <v>11094.952868366981</v>
      </c>
      <c r="O6" s="50">
        <v>11254.060965204886</v>
      </c>
      <c r="P6" s="50">
        <v>10503.347316793648</v>
      </c>
      <c r="Q6" s="50">
        <v>11146.78</v>
      </c>
      <c r="R6" s="50"/>
      <c r="S6" s="50">
        <v>536.65227514576588</v>
      </c>
      <c r="T6" s="50">
        <v>535.02189999999996</v>
      </c>
      <c r="U6" s="50">
        <v>649.16409999999996</v>
      </c>
      <c r="V6" s="50">
        <v>0</v>
      </c>
      <c r="W6" s="50">
        <v>254.36160000000001</v>
      </c>
      <c r="X6" s="50">
        <v>421.00360000000001</v>
      </c>
      <c r="Y6" s="50"/>
      <c r="Z6" s="50">
        <v>5953.1945104160213</v>
      </c>
      <c r="AA6" s="50">
        <v>5719.7935833233614</v>
      </c>
      <c r="AB6" s="50">
        <v>26922.783198490488</v>
      </c>
      <c r="AC6" s="50">
        <v>1801.065027712332</v>
      </c>
    </row>
    <row r="7" spans="2:29" ht="15.5" x14ac:dyDescent="0.35">
      <c r="B7" s="48" t="s">
        <v>29</v>
      </c>
      <c r="C7" s="49"/>
      <c r="D7" s="50">
        <v>1867.5478038669291</v>
      </c>
      <c r="E7" s="50">
        <v>1029.386</v>
      </c>
      <c r="F7" s="50">
        <v>4263.2620962703331</v>
      </c>
      <c r="G7" s="50">
        <v>0</v>
      </c>
      <c r="H7" s="50">
        <v>500.07870000000008</v>
      </c>
      <c r="I7" s="50"/>
      <c r="J7" s="50">
        <v>14301.06</v>
      </c>
      <c r="K7" s="50">
        <v>7034.0680000000002</v>
      </c>
      <c r="L7" s="50">
        <v>5560.8200000000006</v>
      </c>
      <c r="M7" s="50">
        <v>5739.9520000000002</v>
      </c>
      <c r="N7" s="50">
        <v>8721.8176313488093</v>
      </c>
      <c r="O7" s="50">
        <v>8004.9045230371939</v>
      </c>
      <c r="P7" s="50">
        <v>7309.0533408126494</v>
      </c>
      <c r="Q7" s="50">
        <v>9665.8324152651403</v>
      </c>
      <c r="R7" s="50"/>
      <c r="S7" s="50">
        <v>603.08020460116825</v>
      </c>
      <c r="T7" s="50">
        <v>604.03143438491566</v>
      </c>
      <c r="U7" s="50">
        <v>596.43439999999987</v>
      </c>
      <c r="V7" s="50">
        <v>817.27639999999997</v>
      </c>
      <c r="W7" s="50">
        <v>355.51220000000006</v>
      </c>
      <c r="X7" s="50">
        <v>366.45000000000005</v>
      </c>
      <c r="Y7" s="50"/>
      <c r="Z7" s="50">
        <v>7149.6924365286013</v>
      </c>
      <c r="AA7" s="50">
        <v>6765.9609509947777</v>
      </c>
      <c r="AB7" s="50">
        <v>27655.793861087397</v>
      </c>
      <c r="AC7" s="50">
        <v>0</v>
      </c>
    </row>
    <row r="8" spans="2:29" ht="15.5" x14ac:dyDescent="0.35">
      <c r="B8" s="48" t="s">
        <v>30</v>
      </c>
      <c r="C8" s="49"/>
      <c r="D8" s="50">
        <v>1932.4932523211653</v>
      </c>
      <c r="E8" s="50">
        <v>840.55229999999995</v>
      </c>
      <c r="F8" s="50">
        <v>3162.2791696824684</v>
      </c>
      <c r="G8" s="50">
        <v>0</v>
      </c>
      <c r="H8" s="50">
        <v>984.6271999999999</v>
      </c>
      <c r="I8" s="50"/>
      <c r="J8" s="50">
        <v>13552.45</v>
      </c>
      <c r="K8" s="50">
        <v>6843.8940000000002</v>
      </c>
      <c r="L8" s="50">
        <v>2871.6219999999998</v>
      </c>
      <c r="M8" s="50">
        <v>5114.7929999999997</v>
      </c>
      <c r="N8" s="50">
        <v>9028.322918969614</v>
      </c>
      <c r="O8" s="50">
        <v>7178.3579999999993</v>
      </c>
      <c r="P8" s="50">
        <v>7653.2479999999987</v>
      </c>
      <c r="Q8" s="50">
        <v>10382.58</v>
      </c>
      <c r="R8" s="50"/>
      <c r="S8" s="50">
        <v>631.83715432531858</v>
      </c>
      <c r="T8" s="50">
        <v>638.96580000000006</v>
      </c>
      <c r="U8" s="50">
        <v>569.03380000000004</v>
      </c>
      <c r="V8" s="50">
        <v>454.62140000000005</v>
      </c>
      <c r="W8" s="50">
        <v>428.68400000000008</v>
      </c>
      <c r="X8" s="50">
        <v>537.27940000000012</v>
      </c>
      <c r="Y8" s="50"/>
      <c r="Z8" s="50">
        <v>6486.4478658986009</v>
      </c>
      <c r="AA8" s="50">
        <v>4951.5897152128455</v>
      </c>
      <c r="AB8" s="50">
        <v>0</v>
      </c>
      <c r="AC8" s="50">
        <v>0</v>
      </c>
    </row>
    <row r="9" spans="2:29" ht="15.5" x14ac:dyDescent="0.35">
      <c r="B9" s="48" t="s">
        <v>31</v>
      </c>
      <c r="C9" s="49"/>
      <c r="D9" s="50">
        <v>1839.0189573479404</v>
      </c>
      <c r="E9" s="50">
        <v>1407.5550000000001</v>
      </c>
      <c r="F9" s="50">
        <v>3657.6185861440517</v>
      </c>
      <c r="G9" s="50">
        <v>1279.1300000000001</v>
      </c>
      <c r="H9" s="50">
        <v>567.74590000000001</v>
      </c>
      <c r="I9" s="50"/>
      <c r="J9" s="50">
        <v>12682.65</v>
      </c>
      <c r="K9" s="50">
        <v>10226.820034748875</v>
      </c>
      <c r="L9" s="50">
        <v>5698.6443737506088</v>
      </c>
      <c r="M9" s="50">
        <v>6646.732</v>
      </c>
      <c r="N9" s="50">
        <v>11582.640096661446</v>
      </c>
      <c r="O9" s="50">
        <v>14850.923767213959</v>
      </c>
      <c r="P9" s="50">
        <v>9336.9011865054763</v>
      </c>
      <c r="Q9" s="50">
        <v>10593.160000000002</v>
      </c>
      <c r="R9" s="50"/>
      <c r="S9" s="50">
        <v>680.94157395852551</v>
      </c>
      <c r="T9" s="50">
        <v>667.05870000000004</v>
      </c>
      <c r="U9" s="50">
        <v>684.21960000000001</v>
      </c>
      <c r="V9" s="50">
        <v>522.33140000000003</v>
      </c>
      <c r="W9" s="50">
        <v>0</v>
      </c>
      <c r="X9" s="50">
        <v>463.73110000000003</v>
      </c>
      <c r="Y9" s="50"/>
      <c r="Z9" s="50">
        <v>7730.0170265497609</v>
      </c>
      <c r="AA9" s="50">
        <v>1820.9059999999999</v>
      </c>
      <c r="AB9" s="50">
        <v>13164.575523981601</v>
      </c>
      <c r="AC9" s="50">
        <v>161.47030000000001</v>
      </c>
    </row>
    <row r="10" spans="2:29" ht="15.5" x14ac:dyDescent="0.35">
      <c r="B10" s="48" t="s">
        <v>32</v>
      </c>
      <c r="C10" s="49"/>
      <c r="D10" s="50">
        <v>1832.807098118358</v>
      </c>
      <c r="E10" s="50">
        <v>0</v>
      </c>
      <c r="F10" s="50">
        <v>4176.4791527419011</v>
      </c>
      <c r="G10" s="50">
        <v>0</v>
      </c>
      <c r="H10" s="50">
        <v>658.88960000000009</v>
      </c>
      <c r="I10" s="50"/>
      <c r="J10" s="50">
        <v>14634.3</v>
      </c>
      <c r="K10" s="50">
        <v>8425.4390000000003</v>
      </c>
      <c r="L10" s="50">
        <v>4233.4170000000004</v>
      </c>
      <c r="M10" s="50">
        <v>5997.6</v>
      </c>
      <c r="N10" s="50">
        <v>10806.900716798009</v>
      </c>
      <c r="O10" s="50">
        <v>12792.763822258725</v>
      </c>
      <c r="P10" s="50">
        <v>9008.7706391979282</v>
      </c>
      <c r="Q10" s="50">
        <v>10472.219999999998</v>
      </c>
      <c r="R10" s="50"/>
      <c r="S10" s="50">
        <v>611.94924473781805</v>
      </c>
      <c r="T10" s="50">
        <v>604.86247086369838</v>
      </c>
      <c r="U10" s="50">
        <v>627.32500000000016</v>
      </c>
      <c r="V10" s="50">
        <v>878.6400000000001</v>
      </c>
      <c r="W10" s="50">
        <v>548.51900000000001</v>
      </c>
      <c r="X10" s="50">
        <v>549.61440000000005</v>
      </c>
      <c r="Y10" s="50"/>
      <c r="Z10" s="50">
        <v>7182.1033371086805</v>
      </c>
      <c r="AA10" s="50">
        <v>3349.7184743469479</v>
      </c>
      <c r="AB10" s="50">
        <v>13435.460271175354</v>
      </c>
      <c r="AC10" s="50">
        <v>0</v>
      </c>
    </row>
    <row r="11" spans="2:29" ht="15.5" x14ac:dyDescent="0.35">
      <c r="B11" s="48" t="s">
        <v>33</v>
      </c>
      <c r="C11" s="49"/>
      <c r="D11" s="50">
        <v>1566.6758973373965</v>
      </c>
      <c r="E11" s="50">
        <v>0</v>
      </c>
      <c r="F11" s="50">
        <v>3956.3252256919991</v>
      </c>
      <c r="G11" s="50">
        <v>1040</v>
      </c>
      <c r="H11" s="50">
        <v>0</v>
      </c>
      <c r="I11" s="50"/>
      <c r="J11" s="50">
        <v>13878.78</v>
      </c>
      <c r="K11" s="50">
        <v>9316.5570000000007</v>
      </c>
      <c r="L11" s="50">
        <v>7361.7639588699058</v>
      </c>
      <c r="M11" s="50">
        <v>7523.811999999999</v>
      </c>
      <c r="N11" s="50">
        <v>9647.8351399171715</v>
      </c>
      <c r="O11" s="50">
        <v>8246.6990000000005</v>
      </c>
      <c r="P11" s="50">
        <v>7092.11</v>
      </c>
      <c r="Q11" s="50">
        <v>10548.26</v>
      </c>
      <c r="R11" s="50"/>
      <c r="S11" s="50">
        <v>649.16487765384034</v>
      </c>
      <c r="T11" s="50">
        <v>596.84090844563309</v>
      </c>
      <c r="U11" s="50">
        <v>667.02307689308088</v>
      </c>
      <c r="V11" s="50">
        <v>449.39188165350669</v>
      </c>
      <c r="W11" s="50">
        <v>0</v>
      </c>
      <c r="X11" s="50">
        <v>516.57730000000004</v>
      </c>
      <c r="Y11" s="50"/>
      <c r="Z11" s="50">
        <v>6120.5900057628742</v>
      </c>
      <c r="AA11" s="50">
        <v>6697.915375962004</v>
      </c>
      <c r="AB11" s="50">
        <v>9002.7244931940968</v>
      </c>
      <c r="AC11" s="50">
        <v>2456.8902928728562</v>
      </c>
    </row>
    <row r="12" spans="2:29" ht="15.5" x14ac:dyDescent="0.35">
      <c r="B12" s="48" t="s">
        <v>34</v>
      </c>
      <c r="C12" s="49"/>
      <c r="D12" s="50">
        <v>1402.2517276555063</v>
      </c>
      <c r="E12" s="50">
        <v>1334.104</v>
      </c>
      <c r="F12" s="50">
        <v>4541.7274877855389</v>
      </c>
      <c r="G12" s="50">
        <v>0</v>
      </c>
      <c r="H12" s="50">
        <v>999.55219999999997</v>
      </c>
      <c r="I12" s="50"/>
      <c r="J12" s="50">
        <v>15970.625897137168</v>
      </c>
      <c r="K12" s="50">
        <v>8086.760000000002</v>
      </c>
      <c r="L12" s="50">
        <v>3326.4530000000004</v>
      </c>
      <c r="M12" s="50">
        <v>4496.8509999999997</v>
      </c>
      <c r="N12" s="50">
        <v>10007.798293295489</v>
      </c>
      <c r="O12" s="50">
        <v>9116.0689999999995</v>
      </c>
      <c r="P12" s="50">
        <v>6610.2070000000003</v>
      </c>
      <c r="Q12" s="50">
        <v>10959.98</v>
      </c>
      <c r="R12" s="50"/>
      <c r="S12" s="50">
        <v>476.4691085130047</v>
      </c>
      <c r="T12" s="50">
        <v>461.73074660006364</v>
      </c>
      <c r="U12" s="50">
        <v>533.3107</v>
      </c>
      <c r="V12" s="50">
        <v>618.64839999999992</v>
      </c>
      <c r="W12" s="50">
        <v>244.59829999999999</v>
      </c>
      <c r="X12" s="50">
        <v>458.55729999999994</v>
      </c>
      <c r="Y12" s="50"/>
      <c r="Z12" s="50">
        <v>10366.477558351206</v>
      </c>
      <c r="AA12" s="50">
        <v>0</v>
      </c>
      <c r="AB12" s="50">
        <v>22347.71496036576</v>
      </c>
      <c r="AC12" s="50">
        <v>1314.6222212846599</v>
      </c>
    </row>
    <row r="13" spans="2:29" ht="15.5" x14ac:dyDescent="0.35">
      <c r="B13" s="48" t="s">
        <v>35</v>
      </c>
      <c r="C13" s="49"/>
      <c r="D13" s="50">
        <v>2046.5200681454085</v>
      </c>
      <c r="E13" s="50">
        <v>0</v>
      </c>
      <c r="F13" s="50">
        <v>3510.2473219970302</v>
      </c>
      <c r="G13" s="50">
        <v>0</v>
      </c>
      <c r="H13" s="50">
        <v>804.70769999999993</v>
      </c>
      <c r="I13" s="50"/>
      <c r="J13" s="50">
        <v>15822.85</v>
      </c>
      <c r="K13" s="50">
        <v>7690.272350651403</v>
      </c>
      <c r="L13" s="50">
        <v>3781.6488850142405</v>
      </c>
      <c r="M13" s="50">
        <v>11226.44</v>
      </c>
      <c r="N13" s="50">
        <v>10830.455030833171</v>
      </c>
      <c r="O13" s="50">
        <v>12961.99</v>
      </c>
      <c r="P13" s="50">
        <v>8210.7690000000002</v>
      </c>
      <c r="Q13" s="50">
        <v>10713.66</v>
      </c>
      <c r="R13" s="50"/>
      <c r="S13" s="50">
        <v>522.29497299719685</v>
      </c>
      <c r="T13" s="50">
        <v>425.0729</v>
      </c>
      <c r="U13" s="50">
        <v>627.72317109095479</v>
      </c>
      <c r="V13" s="50">
        <v>932.88848544800203</v>
      </c>
      <c r="W13" s="50">
        <v>213.17240000000001</v>
      </c>
      <c r="X13" s="50">
        <v>439.87979999999999</v>
      </c>
      <c r="Y13" s="50"/>
      <c r="Z13" s="50">
        <v>8092.8629489143941</v>
      </c>
      <c r="AA13" s="50">
        <v>3844.89</v>
      </c>
      <c r="AB13" s="50">
        <v>27767.665430613986</v>
      </c>
      <c r="AC13" s="50">
        <v>6163.3381361123365</v>
      </c>
    </row>
    <row r="14" spans="2:29" ht="15.5" x14ac:dyDescent="0.35">
      <c r="B14" s="48" t="s">
        <v>36</v>
      </c>
      <c r="C14" s="49"/>
      <c r="D14" s="50">
        <v>1702.4837272735242</v>
      </c>
      <c r="E14" s="50">
        <v>0</v>
      </c>
      <c r="F14" s="50">
        <v>5275.0819660911884</v>
      </c>
      <c r="G14" s="50">
        <v>0</v>
      </c>
      <c r="H14" s="50">
        <v>775.14890000000014</v>
      </c>
      <c r="I14" s="50"/>
      <c r="J14" s="50">
        <v>14695.23</v>
      </c>
      <c r="K14" s="50">
        <v>6384.5060000000012</v>
      </c>
      <c r="L14" s="50">
        <v>3981.4229999999993</v>
      </c>
      <c r="M14" s="50">
        <v>7332.8630000000003</v>
      </c>
      <c r="N14" s="50">
        <v>10214.149554173546</v>
      </c>
      <c r="O14" s="50">
        <v>13142.669999999998</v>
      </c>
      <c r="P14" s="50">
        <v>6427.4709999999995</v>
      </c>
      <c r="Q14" s="50">
        <v>10469.86</v>
      </c>
      <c r="R14" s="50"/>
      <c r="S14" s="50">
        <v>451.36088139864694</v>
      </c>
      <c r="T14" s="50">
        <v>436.60740000000004</v>
      </c>
      <c r="U14" s="50">
        <v>532.24929999999995</v>
      </c>
      <c r="V14" s="50">
        <v>635.32140000000004</v>
      </c>
      <c r="W14" s="50">
        <v>451.91730000000001</v>
      </c>
      <c r="X14" s="50">
        <v>555.91921647530057</v>
      </c>
      <c r="Y14" s="50"/>
      <c r="Z14" s="50">
        <v>8630.8505174961392</v>
      </c>
      <c r="AA14" s="50">
        <v>7500.6257101502397</v>
      </c>
      <c r="AB14" s="50">
        <v>29063.85</v>
      </c>
      <c r="AC14" s="50">
        <v>0</v>
      </c>
    </row>
    <row r="15" spans="2:29" ht="15.5" x14ac:dyDescent="0.35">
      <c r="B15" s="48" t="s">
        <v>37</v>
      </c>
      <c r="C15" s="49"/>
      <c r="D15" s="50">
        <v>1485.5210000000002</v>
      </c>
      <c r="E15" s="50">
        <v>0</v>
      </c>
      <c r="F15" s="50">
        <v>0</v>
      </c>
      <c r="G15" s="50">
        <v>0</v>
      </c>
      <c r="H15" s="50">
        <v>0</v>
      </c>
      <c r="I15" s="50"/>
      <c r="J15" s="50">
        <v>8099.7849999999989</v>
      </c>
      <c r="K15" s="50">
        <v>10283.060000000001</v>
      </c>
      <c r="L15" s="50">
        <v>6743.4679999999989</v>
      </c>
      <c r="M15" s="50">
        <v>4588.6570000000002</v>
      </c>
      <c r="N15" s="50">
        <v>11500.91415170043</v>
      </c>
      <c r="O15" s="50">
        <v>13979.21</v>
      </c>
      <c r="P15" s="50">
        <v>10435.66</v>
      </c>
      <c r="Q15" s="50">
        <v>11073.340000000002</v>
      </c>
      <c r="R15" s="50"/>
      <c r="S15" s="50">
        <v>941.81263200873138</v>
      </c>
      <c r="T15" s="50">
        <v>694.09299999999996</v>
      </c>
      <c r="U15" s="50">
        <v>1041.674</v>
      </c>
      <c r="V15" s="50">
        <v>667.14589999999998</v>
      </c>
      <c r="W15" s="50">
        <v>220.87619999999998</v>
      </c>
      <c r="X15" s="50">
        <v>624.83010000000002</v>
      </c>
      <c r="Y15" s="50"/>
      <c r="Z15" s="50">
        <v>6485.5510956595117</v>
      </c>
      <c r="AA15" s="50">
        <v>5504.2935644595173</v>
      </c>
      <c r="AB15" s="50">
        <v>13828.56</v>
      </c>
      <c r="AC15" s="50">
        <v>2183.6212603967333</v>
      </c>
    </row>
    <row r="16" spans="2:29" ht="15.5" x14ac:dyDescent="0.35">
      <c r="B16" s="48" t="s">
        <v>38</v>
      </c>
      <c r="C16" s="49"/>
      <c r="D16" s="50">
        <v>1471.107</v>
      </c>
      <c r="E16" s="50">
        <v>823.59090000000003</v>
      </c>
      <c r="F16" s="50">
        <v>0</v>
      </c>
      <c r="G16" s="50">
        <v>0</v>
      </c>
      <c r="H16" s="50">
        <v>0</v>
      </c>
      <c r="I16" s="50"/>
      <c r="J16" s="50">
        <v>14579.200000000003</v>
      </c>
      <c r="K16" s="50">
        <v>9396.4159999999993</v>
      </c>
      <c r="L16" s="50">
        <v>7519.137999999999</v>
      </c>
      <c r="M16" s="50">
        <v>5494.2</v>
      </c>
      <c r="N16" s="50">
        <v>11403.360091910106</v>
      </c>
      <c r="O16" s="50">
        <v>13581.95</v>
      </c>
      <c r="P16" s="50">
        <v>7918.4750000000004</v>
      </c>
      <c r="Q16" s="50">
        <v>11485.86</v>
      </c>
      <c r="R16" s="50"/>
      <c r="S16" s="50">
        <v>805.85006278951164</v>
      </c>
      <c r="T16" s="50">
        <v>609.7722</v>
      </c>
      <c r="U16" s="50">
        <v>837.77809999999988</v>
      </c>
      <c r="V16" s="50">
        <v>553.04650000000015</v>
      </c>
      <c r="W16" s="50">
        <v>0</v>
      </c>
      <c r="X16" s="50">
        <v>556.03020000000004</v>
      </c>
      <c r="Y16" s="50"/>
      <c r="Z16" s="50">
        <v>9188.7220727687927</v>
      </c>
      <c r="AA16" s="50">
        <v>4446.4750000000004</v>
      </c>
      <c r="AB16" s="50">
        <v>45340.813520540687</v>
      </c>
      <c r="AC16" s="50">
        <v>23581.466257100783</v>
      </c>
    </row>
    <row r="17" spans="2:29" ht="15.5" x14ac:dyDescent="0.35">
      <c r="B17" s="48" t="s">
        <v>39</v>
      </c>
      <c r="C17" s="49"/>
      <c r="D17" s="50">
        <v>1740.5768428666211</v>
      </c>
      <c r="E17" s="50">
        <v>0</v>
      </c>
      <c r="F17" s="50">
        <v>0</v>
      </c>
      <c r="G17" s="50">
        <v>0</v>
      </c>
      <c r="H17" s="50">
        <v>0</v>
      </c>
      <c r="I17" s="50"/>
      <c r="J17" s="50">
        <v>0</v>
      </c>
      <c r="K17" s="50">
        <v>7573.3620000000001</v>
      </c>
      <c r="L17" s="50">
        <v>13429.013442235409</v>
      </c>
      <c r="M17" s="50">
        <v>4476.7070000000003</v>
      </c>
      <c r="N17" s="50">
        <v>10864.05510154211</v>
      </c>
      <c r="O17" s="50">
        <v>12077.730077853887</v>
      </c>
      <c r="P17" s="50">
        <v>6635.2699216865167</v>
      </c>
      <c r="Q17" s="50">
        <v>10990.728008601443</v>
      </c>
      <c r="R17" s="50"/>
      <c r="S17" s="50">
        <v>707.74813039355308</v>
      </c>
      <c r="T17" s="50">
        <v>507.22389999999996</v>
      </c>
      <c r="U17" s="50">
        <v>731.00099999999998</v>
      </c>
      <c r="V17" s="50">
        <v>446.94419999999997</v>
      </c>
      <c r="W17" s="50">
        <v>0</v>
      </c>
      <c r="X17" s="50">
        <v>370.76799999999997</v>
      </c>
      <c r="Y17" s="50"/>
      <c r="Z17" s="50">
        <v>8774.0726705097914</v>
      </c>
      <c r="AA17" s="50">
        <v>6997.472999999999</v>
      </c>
      <c r="AB17" s="50">
        <v>23046.53251538871</v>
      </c>
      <c r="AC17" s="50">
        <v>6508.6271413729637</v>
      </c>
    </row>
    <row r="18" spans="2:29" ht="15.5" x14ac:dyDescent="0.35">
      <c r="B18" s="48" t="s">
        <v>40</v>
      </c>
      <c r="C18" s="49"/>
      <c r="D18" s="50">
        <v>1691.5880000000002</v>
      </c>
      <c r="E18" s="50">
        <v>838.33669999999995</v>
      </c>
      <c r="F18" s="50">
        <v>0</v>
      </c>
      <c r="G18" s="50">
        <v>1292.5479999999998</v>
      </c>
      <c r="H18" s="50">
        <v>0</v>
      </c>
      <c r="I18" s="50"/>
      <c r="J18" s="50">
        <v>8921.5120000000024</v>
      </c>
      <c r="K18" s="50">
        <v>8101.7980000000007</v>
      </c>
      <c r="L18" s="50">
        <v>12628.276362190503</v>
      </c>
      <c r="M18" s="50">
        <v>0</v>
      </c>
      <c r="N18" s="50">
        <v>8976.7161279732118</v>
      </c>
      <c r="O18" s="50">
        <v>11771.239999999998</v>
      </c>
      <c r="P18" s="50">
        <v>6267.0960000000005</v>
      </c>
      <c r="Q18" s="50">
        <v>9077.6749999999993</v>
      </c>
      <c r="R18" s="50"/>
      <c r="S18" s="50">
        <v>1027.579377309472</v>
      </c>
      <c r="T18" s="50">
        <v>630.41</v>
      </c>
      <c r="U18" s="50">
        <v>1040.5229999999997</v>
      </c>
      <c r="V18" s="50">
        <v>595.88279999999997</v>
      </c>
      <c r="W18" s="50">
        <v>0</v>
      </c>
      <c r="X18" s="50">
        <v>210.5949</v>
      </c>
      <c r="Y18" s="50"/>
      <c r="Z18" s="50">
        <v>8347.8331278917485</v>
      </c>
      <c r="AA18" s="50">
        <v>10604.4958656651</v>
      </c>
      <c r="AB18" s="50">
        <v>3496.8091813096157</v>
      </c>
      <c r="AC18" s="50">
        <v>1910.9638741451918</v>
      </c>
    </row>
    <row r="19" spans="2:29" ht="15.5" x14ac:dyDescent="0.35">
      <c r="B19" s="48" t="s">
        <v>41</v>
      </c>
      <c r="C19" s="49"/>
      <c r="D19" s="50">
        <v>1350.9690000000001</v>
      </c>
      <c r="E19" s="50">
        <v>1257.5820000000001</v>
      </c>
      <c r="F19" s="50">
        <v>0</v>
      </c>
      <c r="G19" s="50">
        <v>594.07989999999995</v>
      </c>
      <c r="H19" s="50">
        <v>0</v>
      </c>
      <c r="I19" s="50"/>
      <c r="J19" s="50">
        <v>13760.269999999999</v>
      </c>
      <c r="K19" s="50">
        <v>7726.7500000000009</v>
      </c>
      <c r="L19" s="50">
        <v>5610.188000000001</v>
      </c>
      <c r="M19" s="50">
        <v>4622.7579999999989</v>
      </c>
      <c r="N19" s="50">
        <v>8135.2598767591435</v>
      </c>
      <c r="O19" s="50">
        <v>7966.2879999999996</v>
      </c>
      <c r="P19" s="50">
        <v>7190.0599999999995</v>
      </c>
      <c r="Q19" s="50">
        <v>8370.7489999999998</v>
      </c>
      <c r="R19" s="50"/>
      <c r="S19" s="50">
        <v>858.84544589388463</v>
      </c>
      <c r="T19" s="50">
        <v>600.98</v>
      </c>
      <c r="U19" s="50">
        <v>883.71889999999985</v>
      </c>
      <c r="V19" s="50">
        <v>568.10919999999999</v>
      </c>
      <c r="W19" s="50">
        <v>0</v>
      </c>
      <c r="X19" s="50">
        <v>543.26750000000004</v>
      </c>
      <c r="Y19" s="50"/>
      <c r="Z19" s="50">
        <v>7790.385627991277</v>
      </c>
      <c r="AA19" s="50">
        <v>0</v>
      </c>
      <c r="AB19" s="50">
        <v>14248.08</v>
      </c>
      <c r="AC19" s="50">
        <v>5401.0259999999998</v>
      </c>
    </row>
    <row r="20" spans="2:29" ht="15.5" x14ac:dyDescent="0.35">
      <c r="B20" s="48" t="s">
        <v>42</v>
      </c>
      <c r="C20" s="49"/>
      <c r="D20" s="50">
        <v>1978.296767366927</v>
      </c>
      <c r="E20" s="50">
        <v>1316.6030000000003</v>
      </c>
      <c r="F20" s="50">
        <v>4421.6183861903692</v>
      </c>
      <c r="G20" s="50">
        <v>0</v>
      </c>
      <c r="H20" s="50">
        <v>0</v>
      </c>
      <c r="I20" s="50"/>
      <c r="J20" s="50">
        <v>14114.009999999998</v>
      </c>
      <c r="K20" s="50">
        <v>7156.0870000000014</v>
      </c>
      <c r="L20" s="50">
        <v>5545.8590000000004</v>
      </c>
      <c r="M20" s="50">
        <v>4265.7380000000003</v>
      </c>
      <c r="N20" s="50">
        <v>11178.341370447453</v>
      </c>
      <c r="O20" s="50">
        <v>11028.52</v>
      </c>
      <c r="P20" s="50">
        <v>7959.2219999999998</v>
      </c>
      <c r="Q20" s="50">
        <v>11735.780000000002</v>
      </c>
      <c r="R20" s="50"/>
      <c r="S20" s="50">
        <v>781.05443060194204</v>
      </c>
      <c r="T20" s="50">
        <v>766.38118595343599</v>
      </c>
      <c r="U20" s="50">
        <v>891.84919999999988</v>
      </c>
      <c r="V20" s="50">
        <v>622.34140000000002</v>
      </c>
      <c r="W20" s="50">
        <v>531.02980000000002</v>
      </c>
      <c r="X20" s="50">
        <v>546.92800000000011</v>
      </c>
      <c r="Y20" s="50"/>
      <c r="Z20" s="50">
        <v>6558.7548252679208</v>
      </c>
      <c r="AA20" s="50">
        <v>10477.209134024099</v>
      </c>
      <c r="AB20" s="50">
        <v>11738.131765543741</v>
      </c>
      <c r="AC20" s="50">
        <v>430.67371672759845</v>
      </c>
    </row>
    <row r="21" spans="2:29" ht="15.5" x14ac:dyDescent="0.35">
      <c r="B21" s="48" t="s">
        <v>43</v>
      </c>
      <c r="C21" s="49"/>
      <c r="D21" s="50">
        <v>1676.6190000000001</v>
      </c>
      <c r="E21" s="50">
        <v>444.77940000000007</v>
      </c>
      <c r="F21" s="50">
        <v>4150.5922723944723</v>
      </c>
      <c r="G21" s="50">
        <v>0</v>
      </c>
      <c r="H21" s="50">
        <v>839.53629999999987</v>
      </c>
      <c r="I21" s="50"/>
      <c r="J21" s="50">
        <v>11854.52</v>
      </c>
      <c r="K21" s="50">
        <v>5475.7309999999998</v>
      </c>
      <c r="L21" s="50">
        <v>4405.6689999999999</v>
      </c>
      <c r="M21" s="50">
        <v>5494.192</v>
      </c>
      <c r="N21" s="50">
        <v>9359.6365082693392</v>
      </c>
      <c r="O21" s="50">
        <v>11045.85</v>
      </c>
      <c r="P21" s="50">
        <v>7719.735999999999</v>
      </c>
      <c r="Q21" s="50">
        <v>8776.7790000000005</v>
      </c>
      <c r="R21" s="50"/>
      <c r="S21" s="50">
        <v>768.70875563001243</v>
      </c>
      <c r="T21" s="50">
        <v>586.83550000000002</v>
      </c>
      <c r="U21" s="50">
        <v>826.56190000000004</v>
      </c>
      <c r="V21" s="50">
        <v>630.15880000000004</v>
      </c>
      <c r="W21" s="50">
        <v>400.60300000000001</v>
      </c>
      <c r="X21" s="50">
        <v>576.55489999999998</v>
      </c>
      <c r="Y21" s="50"/>
      <c r="Z21" s="50">
        <v>4750.7503511516388</v>
      </c>
      <c r="AA21" s="50">
        <v>5370.8562328325042</v>
      </c>
      <c r="AB21" s="50">
        <v>19261.54</v>
      </c>
      <c r="AC21" s="50">
        <v>25526.555153000863</v>
      </c>
    </row>
    <row r="22" spans="2:29" ht="15.5" x14ac:dyDescent="0.35">
      <c r="B22" s="48" t="s">
        <v>44</v>
      </c>
      <c r="C22" s="49"/>
      <c r="D22" s="50">
        <v>1962.1448966559738</v>
      </c>
      <c r="E22" s="50">
        <v>0</v>
      </c>
      <c r="F22" s="50">
        <v>3518.8070280142078</v>
      </c>
      <c r="G22" s="50">
        <v>635.60776390646231</v>
      </c>
      <c r="H22" s="50">
        <v>0</v>
      </c>
      <c r="I22" s="50"/>
      <c r="J22" s="50">
        <v>11818.76</v>
      </c>
      <c r="K22" s="50">
        <v>7519.4480000000012</v>
      </c>
      <c r="L22" s="50">
        <v>6043.1422722727966</v>
      </c>
      <c r="M22" s="50">
        <v>5885.585</v>
      </c>
      <c r="N22" s="50">
        <v>10001.821662012111</v>
      </c>
      <c r="O22" s="50">
        <v>11767.19</v>
      </c>
      <c r="P22" s="50">
        <v>8647.2500000000018</v>
      </c>
      <c r="Q22" s="50">
        <v>9705.6247835702543</v>
      </c>
      <c r="R22" s="50"/>
      <c r="S22" s="50">
        <v>719.92041034811632</v>
      </c>
      <c r="T22" s="50">
        <v>585.52139999999997</v>
      </c>
      <c r="U22" s="50">
        <v>827.38999991423054</v>
      </c>
      <c r="V22" s="50">
        <v>528.02390974205059</v>
      </c>
      <c r="W22" s="50">
        <v>416.34109999999998</v>
      </c>
      <c r="X22" s="50">
        <v>567.11569999999983</v>
      </c>
      <c r="Y22" s="50"/>
      <c r="Z22" s="50">
        <v>7572.1218442157287</v>
      </c>
      <c r="AA22" s="50">
        <v>3109.3907796610169</v>
      </c>
      <c r="AB22" s="50">
        <v>13342.489999999998</v>
      </c>
      <c r="AC22" s="50">
        <v>385.69369846578581</v>
      </c>
    </row>
    <row r="23" spans="2:29" ht="15.5" x14ac:dyDescent="0.35">
      <c r="B23" s="48" t="s">
        <v>45</v>
      </c>
      <c r="C23" s="49"/>
      <c r="D23" s="50">
        <v>1656.0876758748595</v>
      </c>
      <c r="E23" s="50">
        <v>0</v>
      </c>
      <c r="F23" s="50">
        <v>3002.0061095969349</v>
      </c>
      <c r="G23" s="50">
        <v>0</v>
      </c>
      <c r="H23" s="50">
        <v>553.97159999999985</v>
      </c>
      <c r="I23" s="50"/>
      <c r="J23" s="50">
        <v>13004.63</v>
      </c>
      <c r="K23" s="50">
        <v>8431.9369999999999</v>
      </c>
      <c r="L23" s="50">
        <v>6075.3630000000003</v>
      </c>
      <c r="M23" s="50">
        <v>6251.6970000000001</v>
      </c>
      <c r="N23" s="50">
        <v>11084.911313841341</v>
      </c>
      <c r="O23" s="50">
        <v>13202.85</v>
      </c>
      <c r="P23" s="50">
        <v>7699.4429999999993</v>
      </c>
      <c r="Q23" s="50">
        <v>11123.74</v>
      </c>
      <c r="R23" s="50"/>
      <c r="S23" s="50">
        <v>772.60422148579607</v>
      </c>
      <c r="T23" s="50">
        <v>579.34310000000005</v>
      </c>
      <c r="U23" s="50">
        <v>818.01400000000001</v>
      </c>
      <c r="V23" s="50">
        <v>475.92579999999998</v>
      </c>
      <c r="W23" s="50">
        <v>673.16909999999984</v>
      </c>
      <c r="X23" s="50">
        <v>536.09640000000002</v>
      </c>
      <c r="Y23" s="50"/>
      <c r="Z23" s="50">
        <v>8765.4944375211562</v>
      </c>
      <c r="AA23" s="50">
        <v>5403.3610792273266</v>
      </c>
      <c r="AB23" s="50">
        <v>6788.1019999999999</v>
      </c>
      <c r="AC23" s="50">
        <v>21296.92</v>
      </c>
    </row>
    <row r="24" spans="2:29" ht="15.5" x14ac:dyDescent="0.35">
      <c r="B24" s="48" t="s">
        <v>46</v>
      </c>
      <c r="C24" s="49"/>
      <c r="D24" s="50">
        <v>1904.905</v>
      </c>
      <c r="E24" s="50">
        <v>1566.4259999999999</v>
      </c>
      <c r="F24" s="50">
        <v>0</v>
      </c>
      <c r="G24" s="50">
        <v>1653.7305874209069</v>
      </c>
      <c r="H24" s="50">
        <v>0</v>
      </c>
      <c r="I24" s="50"/>
      <c r="J24" s="50">
        <v>5232.9250000000011</v>
      </c>
      <c r="K24" s="50">
        <v>9016.8510000000006</v>
      </c>
      <c r="L24" s="50">
        <v>12183.237776211026</v>
      </c>
      <c r="M24" s="50">
        <v>0</v>
      </c>
      <c r="N24" s="50">
        <v>10549.653191609341</v>
      </c>
      <c r="O24" s="50">
        <v>13280.6</v>
      </c>
      <c r="P24" s="50">
        <v>7797.0379999999996</v>
      </c>
      <c r="Q24" s="50">
        <v>10367.16</v>
      </c>
      <c r="R24" s="50"/>
      <c r="S24" s="50">
        <v>1110.5158884020509</v>
      </c>
      <c r="T24" s="50">
        <v>905.90300000000002</v>
      </c>
      <c r="U24" s="50">
        <v>1117.02</v>
      </c>
      <c r="V24" s="50">
        <v>661.00945093976964</v>
      </c>
      <c r="W24" s="50">
        <v>0</v>
      </c>
      <c r="X24" s="50">
        <v>863.42079999999999</v>
      </c>
      <c r="Y24" s="50"/>
      <c r="Z24" s="50">
        <v>8655.1135222775119</v>
      </c>
      <c r="AA24" s="50">
        <v>4011.201</v>
      </c>
      <c r="AB24" s="50">
        <v>16077.013461348901</v>
      </c>
      <c r="AC24" s="50">
        <v>7719.9912807903029</v>
      </c>
    </row>
    <row r="25" spans="2:29" ht="15.5" x14ac:dyDescent="0.35">
      <c r="B25" s="48" t="s">
        <v>47</v>
      </c>
      <c r="C25" s="49"/>
      <c r="D25" s="50">
        <v>2097.0120000000002</v>
      </c>
      <c r="E25" s="50">
        <v>1930.3980000000001</v>
      </c>
      <c r="F25" s="50">
        <v>0</v>
      </c>
      <c r="G25" s="50">
        <v>1468.962</v>
      </c>
      <c r="H25" s="50">
        <v>0</v>
      </c>
      <c r="I25" s="50"/>
      <c r="J25" s="50">
        <v>12890.89</v>
      </c>
      <c r="K25" s="50">
        <v>9411.2060000000019</v>
      </c>
      <c r="L25" s="50">
        <v>10514.799999999997</v>
      </c>
      <c r="M25" s="50">
        <v>4262.1719999999996</v>
      </c>
      <c r="N25" s="50">
        <v>9964.4829385940211</v>
      </c>
      <c r="O25" s="50">
        <v>12020.68</v>
      </c>
      <c r="P25" s="50">
        <v>7260.7929999999988</v>
      </c>
      <c r="Q25" s="50">
        <v>8596.1320000000014</v>
      </c>
      <c r="R25" s="50"/>
      <c r="S25" s="50">
        <v>953.45671533118798</v>
      </c>
      <c r="T25" s="50">
        <v>716.53370000000007</v>
      </c>
      <c r="U25" s="50">
        <v>966.51370000000009</v>
      </c>
      <c r="V25" s="50">
        <v>655.40779999999984</v>
      </c>
      <c r="W25" s="50">
        <v>0</v>
      </c>
      <c r="X25" s="50">
        <v>0</v>
      </c>
      <c r="Y25" s="50"/>
      <c r="Z25" s="50">
        <v>7609.0370323752886</v>
      </c>
      <c r="AA25" s="50">
        <v>15090.829999999998</v>
      </c>
      <c r="AB25" s="50">
        <v>18866.060000000001</v>
      </c>
      <c r="AC25" s="50">
        <v>17695.3</v>
      </c>
    </row>
    <row r="26" spans="2:29" ht="15.5" x14ac:dyDescent="0.35">
      <c r="B26" s="48" t="s">
        <v>48</v>
      </c>
      <c r="C26" s="49"/>
      <c r="D26" s="50">
        <v>1479.6929638701467</v>
      </c>
      <c r="E26" s="50">
        <v>1339.348</v>
      </c>
      <c r="F26" s="50">
        <v>0</v>
      </c>
      <c r="G26" s="50">
        <v>1064.9314789299024</v>
      </c>
      <c r="H26" s="50">
        <v>629.93641768873897</v>
      </c>
      <c r="I26" s="50"/>
      <c r="J26" s="50">
        <v>13849.77</v>
      </c>
      <c r="K26" s="50">
        <v>9843.9362159940883</v>
      </c>
      <c r="L26" s="50">
        <v>9024.6143411589674</v>
      </c>
      <c r="M26" s="50">
        <v>3976.7029999999995</v>
      </c>
      <c r="N26" s="50">
        <v>11025.055833886827</v>
      </c>
      <c r="O26" s="50">
        <v>14186.552865297655</v>
      </c>
      <c r="P26" s="50">
        <v>6119.7709999999997</v>
      </c>
      <c r="Q26" s="50">
        <v>10687.510000000002</v>
      </c>
      <c r="R26" s="50"/>
      <c r="S26" s="50">
        <v>772.27220548432388</v>
      </c>
      <c r="T26" s="50">
        <v>651.06560000000002</v>
      </c>
      <c r="U26" s="50">
        <v>808.2693333078405</v>
      </c>
      <c r="V26" s="50">
        <v>682.31993863409309</v>
      </c>
      <c r="W26" s="50">
        <v>370.45529999999997</v>
      </c>
      <c r="X26" s="50">
        <v>428.01239999999996</v>
      </c>
      <c r="Y26" s="50"/>
      <c r="Z26" s="50">
        <v>6695.4512464642912</v>
      </c>
      <c r="AA26" s="50">
        <v>4623.972375792554</v>
      </c>
      <c r="AB26" s="50">
        <v>13153.944582598377</v>
      </c>
      <c r="AC26" s="50">
        <v>26384.973780756547</v>
      </c>
    </row>
    <row r="27" spans="2:29" ht="15.5" x14ac:dyDescent="0.35">
      <c r="B27" s="48" t="s">
        <v>49</v>
      </c>
      <c r="C27" s="49"/>
      <c r="D27" s="50">
        <v>1701.4326601127143</v>
      </c>
      <c r="E27" s="50">
        <v>1021.2480000000002</v>
      </c>
      <c r="F27" s="50">
        <v>3946.3256217586318</v>
      </c>
      <c r="G27" s="50">
        <v>0</v>
      </c>
      <c r="H27" s="50">
        <v>297.71429999999998</v>
      </c>
      <c r="I27" s="50"/>
      <c r="J27" s="50">
        <v>13291.650000000001</v>
      </c>
      <c r="K27" s="50">
        <v>8076.2776036092664</v>
      </c>
      <c r="L27" s="50">
        <v>6327.440366236091</v>
      </c>
      <c r="M27" s="50">
        <v>12807.910000000002</v>
      </c>
      <c r="N27" s="50">
        <v>14009.791866243188</v>
      </c>
      <c r="O27" s="50">
        <v>16934.235806576668</v>
      </c>
      <c r="P27" s="50">
        <v>7954.8663419381937</v>
      </c>
      <c r="Q27" s="50">
        <v>10705.712736480533</v>
      </c>
      <c r="R27" s="50"/>
      <c r="S27" s="50">
        <v>627.04591929747721</v>
      </c>
      <c r="T27" s="50">
        <v>627.39231929561174</v>
      </c>
      <c r="U27" s="50">
        <v>610.36739999999998</v>
      </c>
      <c r="V27" s="50">
        <v>301.08479999999997</v>
      </c>
      <c r="W27" s="50">
        <v>442.60139999999996</v>
      </c>
      <c r="X27" s="50">
        <v>535.28304134584698</v>
      </c>
      <c r="Y27" s="50"/>
      <c r="Z27" s="50">
        <v>8219.7575488500752</v>
      </c>
      <c r="AA27" s="50">
        <v>2318.4618821295812</v>
      </c>
      <c r="AB27" s="50">
        <v>20553.876121955538</v>
      </c>
      <c r="AC27" s="50">
        <v>4378.3793768556061</v>
      </c>
    </row>
    <row r="28" spans="2:29" ht="15.5" x14ac:dyDescent="0.35">
      <c r="B28" s="48" t="s">
        <v>50</v>
      </c>
      <c r="C28" s="49"/>
      <c r="D28" s="50">
        <v>2834.3669630865993</v>
      </c>
      <c r="E28" s="50">
        <v>1626.9491651785258</v>
      </c>
      <c r="F28" s="50">
        <v>4248.4491992857629</v>
      </c>
      <c r="G28" s="50">
        <v>0</v>
      </c>
      <c r="H28" s="50">
        <v>902.86876398840013</v>
      </c>
      <c r="I28" s="50"/>
      <c r="J28" s="50">
        <v>13229.338138920164</v>
      </c>
      <c r="K28" s="50">
        <v>5773.5052958218894</v>
      </c>
      <c r="L28" s="50">
        <v>5474.5671529861929</v>
      </c>
      <c r="M28" s="50">
        <v>4990.2290000000003</v>
      </c>
      <c r="N28" s="50">
        <v>14063.647033112222</v>
      </c>
      <c r="O28" s="50">
        <v>16972.844899473861</v>
      </c>
      <c r="P28" s="50">
        <v>8848.9038562594396</v>
      </c>
      <c r="Q28" s="50">
        <v>11548.049946838826</v>
      </c>
      <c r="R28" s="50"/>
      <c r="S28" s="50">
        <v>777.1595702476011</v>
      </c>
      <c r="T28" s="50">
        <v>749.1863757946528</v>
      </c>
      <c r="U28" s="50">
        <v>1015.279</v>
      </c>
      <c r="V28" s="50">
        <v>896.59270000000015</v>
      </c>
      <c r="W28" s="50">
        <v>450.99339200642351</v>
      </c>
      <c r="X28" s="50">
        <v>647.57997676166133</v>
      </c>
      <c r="Y28" s="50"/>
      <c r="Z28" s="50">
        <v>7609.3147790824396</v>
      </c>
      <c r="AA28" s="50">
        <v>4001.7439314872618</v>
      </c>
      <c r="AB28" s="50">
        <v>20626.911485360248</v>
      </c>
      <c r="AC28" s="50">
        <v>2008.5517990931532</v>
      </c>
    </row>
    <row r="29" spans="2:29" ht="15.5" x14ac:dyDescent="0.35">
      <c r="B29" s="48" t="s">
        <v>51</v>
      </c>
      <c r="C29" s="49"/>
      <c r="D29" s="50">
        <v>1841.3726490718516</v>
      </c>
      <c r="E29" s="50">
        <v>962.52590926259256</v>
      </c>
      <c r="F29" s="50">
        <v>4347.0477450377848</v>
      </c>
      <c r="G29" s="50">
        <v>1485.674</v>
      </c>
      <c r="H29" s="50">
        <v>729.17479930534182</v>
      </c>
      <c r="I29" s="50"/>
      <c r="J29" s="50">
        <v>12887.57</v>
      </c>
      <c r="K29" s="50">
        <v>8964.8629999999976</v>
      </c>
      <c r="L29" s="50">
        <v>5399.2599058501364</v>
      </c>
      <c r="M29" s="50">
        <v>4645.8770000000004</v>
      </c>
      <c r="N29" s="50">
        <v>13351.632500216794</v>
      </c>
      <c r="O29" s="50">
        <v>15688.972027087551</v>
      </c>
      <c r="P29" s="50">
        <v>8223.4929200773149</v>
      </c>
      <c r="Q29" s="50">
        <v>10960.261857062575</v>
      </c>
      <c r="R29" s="50"/>
      <c r="S29" s="50">
        <v>725.21046383364239</v>
      </c>
      <c r="T29" s="50">
        <v>704.4021604067716</v>
      </c>
      <c r="U29" s="50">
        <v>861.2437000000001</v>
      </c>
      <c r="V29" s="50">
        <v>683.87260000000003</v>
      </c>
      <c r="W29" s="50">
        <v>517.19320000000005</v>
      </c>
      <c r="X29" s="50">
        <v>401.52643423357199</v>
      </c>
      <c r="Y29" s="50"/>
      <c r="Z29" s="50">
        <v>7013.8094340382941</v>
      </c>
      <c r="AA29" s="50">
        <v>10375.960400041533</v>
      </c>
      <c r="AB29" s="50">
        <v>17278.677626816643</v>
      </c>
      <c r="AC29" s="50">
        <v>0</v>
      </c>
    </row>
    <row r="30" spans="2:29" ht="15.5" x14ac:dyDescent="0.35">
      <c r="B30" s="48" t="s">
        <v>52</v>
      </c>
      <c r="C30" s="49"/>
      <c r="D30" s="50">
        <v>1924.9967749485568</v>
      </c>
      <c r="E30" s="50">
        <v>1287.9949999999999</v>
      </c>
      <c r="F30" s="50">
        <v>3319.7384779380836</v>
      </c>
      <c r="G30" s="50">
        <v>913.30909999999994</v>
      </c>
      <c r="H30" s="50">
        <v>615.30762755373496</v>
      </c>
      <c r="I30" s="50"/>
      <c r="J30" s="50">
        <v>11976.41</v>
      </c>
      <c r="K30" s="50">
        <v>6932.0847923913961</v>
      </c>
      <c r="L30" s="50">
        <v>3299.5256467702734</v>
      </c>
      <c r="M30" s="50">
        <v>3302.8382338416086</v>
      </c>
      <c r="N30" s="50">
        <v>13959.280717375319</v>
      </c>
      <c r="O30" s="50">
        <v>15892.443589307699</v>
      </c>
      <c r="P30" s="50">
        <v>10367.521148857684</v>
      </c>
      <c r="Q30" s="50">
        <v>9540.6808192291101</v>
      </c>
      <c r="R30" s="50"/>
      <c r="S30" s="50">
        <v>683.76779467066478</v>
      </c>
      <c r="T30" s="50">
        <v>680.10174168729645</v>
      </c>
      <c r="U30" s="50">
        <v>847.6588999999999</v>
      </c>
      <c r="V30" s="50">
        <v>554.49970000000008</v>
      </c>
      <c r="W30" s="50">
        <v>333.67005085963729</v>
      </c>
      <c r="X30" s="50">
        <v>343.90212930261589</v>
      </c>
      <c r="Y30" s="50"/>
      <c r="Z30" s="50">
        <v>6987.468125092274</v>
      </c>
      <c r="AA30" s="50">
        <v>2478.6544875342361</v>
      </c>
      <c r="AB30" s="50">
        <v>11029.213352203942</v>
      </c>
      <c r="AC30" s="50">
        <v>6541.5372298879429</v>
      </c>
    </row>
    <row r="31" spans="2:29" ht="15.5" x14ac:dyDescent="0.35">
      <c r="B31" s="48" t="s">
        <v>53</v>
      </c>
      <c r="C31" s="49"/>
      <c r="D31" s="50">
        <v>2570.53651164858</v>
      </c>
      <c r="E31" s="50">
        <v>1144.308</v>
      </c>
      <c r="F31" s="50">
        <v>4111.9369850882204</v>
      </c>
      <c r="G31" s="50">
        <v>1019.9450000000001</v>
      </c>
      <c r="H31" s="50">
        <v>490.68202605901354</v>
      </c>
      <c r="I31" s="50"/>
      <c r="J31" s="50">
        <v>14947.63</v>
      </c>
      <c r="K31" s="50">
        <v>6536.188000000001</v>
      </c>
      <c r="L31" s="50">
        <v>4827.1490000000003</v>
      </c>
      <c r="M31" s="50">
        <v>3738.3794067339504</v>
      </c>
      <c r="N31" s="50">
        <v>13650.370896553519</v>
      </c>
      <c r="O31" s="50">
        <v>15809.54</v>
      </c>
      <c r="P31" s="50">
        <v>8444.7659999999996</v>
      </c>
      <c r="Q31" s="50">
        <v>11185.58</v>
      </c>
      <c r="R31" s="50"/>
      <c r="S31" s="50">
        <v>674.22165433453699</v>
      </c>
      <c r="T31" s="50">
        <v>676.50191646338305</v>
      </c>
      <c r="U31" s="50">
        <v>648.12059999999997</v>
      </c>
      <c r="V31" s="50">
        <v>541.80399999999997</v>
      </c>
      <c r="W31" s="50">
        <v>462.21460000000002</v>
      </c>
      <c r="X31" s="50">
        <v>1528.8904633506213</v>
      </c>
      <c r="Y31" s="50"/>
      <c r="Z31" s="50">
        <v>6916.4102939826262</v>
      </c>
      <c r="AA31" s="50">
        <v>5605.9922918195834</v>
      </c>
      <c r="AB31" s="50">
        <v>5485.9100000000008</v>
      </c>
      <c r="AC31" s="50">
        <v>0</v>
      </c>
    </row>
    <row r="32" spans="2:29" ht="15.5" x14ac:dyDescent="0.35">
      <c r="B32" s="48" t="s">
        <v>54</v>
      </c>
      <c r="C32" s="49"/>
      <c r="D32" s="50">
        <v>1931.8570714527468</v>
      </c>
      <c r="E32" s="50">
        <v>1789.848</v>
      </c>
      <c r="F32" s="50">
        <v>4071.2149211704664</v>
      </c>
      <c r="G32" s="50">
        <v>0</v>
      </c>
      <c r="H32" s="50">
        <v>597.82074530358591</v>
      </c>
      <c r="I32" s="50"/>
      <c r="J32" s="50">
        <v>12678.81</v>
      </c>
      <c r="K32" s="50">
        <v>8152.7730000000001</v>
      </c>
      <c r="L32" s="50">
        <v>4358.5169999999998</v>
      </c>
      <c r="M32" s="50">
        <v>5237.6399999999994</v>
      </c>
      <c r="N32" s="50">
        <v>13075.976690525073</v>
      </c>
      <c r="O32" s="50">
        <v>14952.65495634262</v>
      </c>
      <c r="P32" s="50">
        <v>8576.6537122682585</v>
      </c>
      <c r="Q32" s="50">
        <v>11377.248546975647</v>
      </c>
      <c r="R32" s="50"/>
      <c r="S32" s="50">
        <v>692.91159500226217</v>
      </c>
      <c r="T32" s="50">
        <v>683.75532029403246</v>
      </c>
      <c r="U32" s="50">
        <v>799.83550000000002</v>
      </c>
      <c r="V32" s="50">
        <v>301.77320000000003</v>
      </c>
      <c r="W32" s="50">
        <v>408.5750000000001</v>
      </c>
      <c r="X32" s="50">
        <v>466.01980248095157</v>
      </c>
      <c r="Y32" s="50"/>
      <c r="Z32" s="50">
        <v>6586.7356065005779</v>
      </c>
      <c r="AA32" s="50">
        <v>3721.3754788367319</v>
      </c>
      <c r="AB32" s="50">
        <v>19217.806428999447</v>
      </c>
      <c r="AC32" s="50">
        <v>51.997130662685343</v>
      </c>
    </row>
    <row r="33" spans="2:29" ht="16" thickBot="1" x14ac:dyDescent="0.4">
      <c r="B33" s="51" t="s">
        <v>55</v>
      </c>
      <c r="C33" s="49"/>
      <c r="D33" s="50">
        <v>1610.9322665623768</v>
      </c>
      <c r="E33" s="50">
        <v>1124.3402380508849</v>
      </c>
      <c r="F33" s="50">
        <v>5375.6543058770485</v>
      </c>
      <c r="G33" s="50">
        <v>0</v>
      </c>
      <c r="H33" s="50">
        <v>768.58450000000016</v>
      </c>
      <c r="I33" s="50"/>
      <c r="J33" s="50">
        <v>13044.533601811772</v>
      </c>
      <c r="K33" s="50">
        <v>8076.538154806155</v>
      </c>
      <c r="L33" s="50">
        <v>3019.4774273111293</v>
      </c>
      <c r="M33" s="50">
        <v>4268.2240000000002</v>
      </c>
      <c r="N33" s="50">
        <v>12060.863977172259</v>
      </c>
      <c r="O33" s="50">
        <v>15992.654567988831</v>
      </c>
      <c r="P33" s="50">
        <v>8149.2631094147664</v>
      </c>
      <c r="Q33" s="50">
        <v>10348.513063016615</v>
      </c>
      <c r="R33" s="50"/>
      <c r="S33" s="50">
        <v>470.48764348563719</v>
      </c>
      <c r="T33" s="50">
        <v>468.20490546806673</v>
      </c>
      <c r="U33" s="50">
        <v>815.54051333630377</v>
      </c>
      <c r="V33" s="50">
        <v>415.70080000000002</v>
      </c>
      <c r="W33" s="50">
        <v>421.75987834306915</v>
      </c>
      <c r="X33" s="50">
        <v>349.67610606337666</v>
      </c>
      <c r="Y33" s="50"/>
      <c r="Z33" s="50">
        <v>3972.6830903322066</v>
      </c>
      <c r="AA33" s="50">
        <v>9747.1611659211212</v>
      </c>
      <c r="AB33" s="50">
        <v>8434.0865481354122</v>
      </c>
      <c r="AC33" s="50">
        <v>3893.0622700327053</v>
      </c>
    </row>
    <row r="34" spans="2:29" ht="16" thickTop="1" x14ac:dyDescent="0.35">
      <c r="B34" s="52" t="s">
        <v>71</v>
      </c>
      <c r="C34" s="52"/>
      <c r="D34" s="53">
        <v>1985.0146084239263</v>
      </c>
      <c r="E34" s="53">
        <v>1364.691188000086</v>
      </c>
      <c r="F34" s="53">
        <v>4080.0584810215792</v>
      </c>
      <c r="G34" s="142">
        <v>1318.5077666997659</v>
      </c>
      <c r="H34" s="53">
        <v>695.49358213228038</v>
      </c>
      <c r="I34" s="53"/>
      <c r="J34" s="53">
        <v>13541.50256182201</v>
      </c>
      <c r="K34" s="53">
        <v>8351.9336140278119</v>
      </c>
      <c r="L34" s="53">
        <v>8735.5633416492637</v>
      </c>
      <c r="M34" s="53">
        <v>6355.1930385502319</v>
      </c>
      <c r="N34" s="53">
        <v>11620.919057990825</v>
      </c>
      <c r="O34" s="53">
        <v>14327.089367945309</v>
      </c>
      <c r="P34" s="53">
        <v>8089.0516721034264</v>
      </c>
      <c r="Q34" s="53">
        <v>10554.095363641285</v>
      </c>
      <c r="R34" s="53"/>
      <c r="S34" s="53">
        <v>704.56433387295556</v>
      </c>
      <c r="T34" s="53">
        <v>625.2362111303155</v>
      </c>
      <c r="U34" s="53">
        <v>833.48586557245733</v>
      </c>
      <c r="V34" s="53">
        <v>605.60551915070334</v>
      </c>
      <c r="W34" s="53">
        <v>431.85124172245315</v>
      </c>
      <c r="X34" s="53">
        <v>533.24616306008124</v>
      </c>
      <c r="Y34" s="53"/>
      <c r="Z34" s="53">
        <v>7560.4215873764015</v>
      </c>
      <c r="AA34" s="53">
        <v>4985.5697657956316</v>
      </c>
      <c r="AB34" s="53">
        <v>17715.575803097912</v>
      </c>
      <c r="AC34" s="53">
        <v>7433.9602966139473</v>
      </c>
    </row>
    <row r="35" spans="2:29" ht="15.5" x14ac:dyDescent="0.35">
      <c r="B35" s="54" t="s">
        <v>79</v>
      </c>
      <c r="C35" s="54"/>
      <c r="D35" s="55">
        <v>1918.4134725223385</v>
      </c>
      <c r="E35" s="55">
        <v>1364.049008894644</v>
      </c>
      <c r="F35" s="55">
        <v>2006.7277699302549</v>
      </c>
      <c r="G35" s="55">
        <v>1315.4741722469373</v>
      </c>
      <c r="H35" s="55">
        <v>700.10299236955814</v>
      </c>
      <c r="I35" s="55"/>
      <c r="J35" s="55">
        <v>13538.986501724457</v>
      </c>
      <c r="K35" s="55">
        <v>8351.9415625103702</v>
      </c>
      <c r="L35" s="55">
        <v>8726.1218036728314</v>
      </c>
      <c r="M35" s="55">
        <v>6355.1930385502319</v>
      </c>
      <c r="N35" s="55">
        <v>11619.240480233218</v>
      </c>
      <c r="O35" s="55">
        <v>14325.772415249039</v>
      </c>
      <c r="P35" s="55">
        <v>8086.9054543140528</v>
      </c>
      <c r="Q35" s="55">
        <v>10554.018207111956</v>
      </c>
      <c r="R35" s="55"/>
      <c r="S35" s="55">
        <v>704.43643667344656</v>
      </c>
      <c r="T35" s="55">
        <v>624.96514010630449</v>
      </c>
      <c r="U35" s="55">
        <v>833.42063313808535</v>
      </c>
      <c r="V35" s="55">
        <v>605.71253193750658</v>
      </c>
      <c r="W35" s="55">
        <v>431.85677292117754</v>
      </c>
      <c r="X35" s="55">
        <v>495.9353661079586</v>
      </c>
      <c r="Y35" s="55"/>
      <c r="Z35" s="55">
        <v>7526.5981310996467</v>
      </c>
      <c r="AA35" s="55">
        <v>5072.7920147882787</v>
      </c>
      <c r="AB35" s="55">
        <v>17686.226720201033</v>
      </c>
      <c r="AC35" s="55">
        <v>7682.0394580965467</v>
      </c>
    </row>
    <row r="36" spans="2:29" ht="16" thickBot="1" x14ac:dyDescent="0.4">
      <c r="B36" s="51" t="s">
        <v>80</v>
      </c>
      <c r="C36" s="51"/>
      <c r="D36" s="56">
        <v>4075.5417247855225</v>
      </c>
      <c r="E36" s="56">
        <v>2182.4343179329053</v>
      </c>
      <c r="F36" s="56">
        <v>4117.4097795127773</v>
      </c>
      <c r="G36" s="56">
        <v>1518.5187306247935</v>
      </c>
      <c r="H36" s="56">
        <v>0</v>
      </c>
      <c r="I36" s="56"/>
      <c r="J36" s="56">
        <v>17892.141223636576</v>
      </c>
      <c r="K36" s="56">
        <v>8292.8961650693873</v>
      </c>
      <c r="L36" s="56">
        <v>11422.602886847426</v>
      </c>
      <c r="M36" s="56">
        <v>0</v>
      </c>
      <c r="N36" s="56">
        <v>15206.497533096377</v>
      </c>
      <c r="O36" s="56">
        <v>15591.252343215649</v>
      </c>
      <c r="P36" s="56">
        <v>14020.567685316888</v>
      </c>
      <c r="Q36" s="56">
        <v>11923.456427476376</v>
      </c>
      <c r="R36" s="56"/>
      <c r="S36" s="56">
        <v>829.95533953112192</v>
      </c>
      <c r="T36" s="56">
        <v>803.2669111241072</v>
      </c>
      <c r="U36" s="56">
        <v>1152.9109576757266</v>
      </c>
      <c r="V36" s="56">
        <v>565.41617197039125</v>
      </c>
      <c r="W36" s="56"/>
      <c r="X36" s="56">
        <v>1953.6946363976369</v>
      </c>
      <c r="Y36" s="56"/>
      <c r="Z36" s="56">
        <v>11130.183584068065</v>
      </c>
      <c r="AA36" s="56">
        <v>2748.0807678101482</v>
      </c>
      <c r="AB36" s="56">
        <v>18416.157812201051</v>
      </c>
      <c r="AC36" s="56"/>
    </row>
    <row r="37" spans="2:29" ht="16" thickTop="1" x14ac:dyDescent="0.35">
      <c r="B37" s="9" t="s">
        <v>172</v>
      </c>
    </row>
  </sheetData>
  <pageMargins left="0.7" right="0.7" top="0.75" bottom="0.75" header="0.3" footer="0.3"/>
  <pageSetup orientation="portrait" r:id="rId1"/>
  <headerFooter>
    <oddFooter>&amp;LYield of Cassava, Banana and Sweet potatoes for LSF are low because they are not main crops cultivated by Visited Large Scale Farmers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AC37"/>
  <sheetViews>
    <sheetView zoomScale="85" zoomScaleNormal="85" workbookViewId="0">
      <selection activeCell="B2" sqref="B2"/>
    </sheetView>
  </sheetViews>
  <sheetFormatPr defaultRowHeight="14.5" x14ac:dyDescent="0.35"/>
  <cols>
    <col min="2" max="2" width="11.1796875" bestFit="1" customWidth="1"/>
    <col min="4" max="8" width="9.26953125" bestFit="1" customWidth="1"/>
    <col min="10" max="17" width="9.26953125" bestFit="1" customWidth="1"/>
    <col min="18" max="18" width="4.81640625" bestFit="1" customWidth="1"/>
    <col min="19" max="19" width="9.26953125" bestFit="1" customWidth="1"/>
    <col min="20" max="24" width="7.1796875" bestFit="1" customWidth="1"/>
    <col min="25" max="25" width="6.7265625" bestFit="1" customWidth="1"/>
    <col min="26" max="28" width="8.1796875" bestFit="1" customWidth="1"/>
    <col min="29" max="29" width="8.54296875" bestFit="1" customWidth="1"/>
  </cols>
  <sheetData>
    <row r="2" spans="2:29" ht="16" thickBot="1" x14ac:dyDescent="0.4">
      <c r="B2" s="19" t="s">
        <v>184</v>
      </c>
      <c r="C2" s="43" t="s">
        <v>174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4"/>
      <c r="X2" s="44"/>
      <c r="Y2" s="44"/>
      <c r="Z2" s="44"/>
      <c r="AA2" s="44"/>
      <c r="AB2" s="44"/>
      <c r="AC2" s="44"/>
    </row>
    <row r="3" spans="2:29" ht="119.25" customHeight="1" x14ac:dyDescent="0.35">
      <c r="B3" s="45" t="s">
        <v>25</v>
      </c>
      <c r="C3" s="46" t="s">
        <v>135</v>
      </c>
      <c r="D3" s="46" t="s">
        <v>57</v>
      </c>
      <c r="E3" s="47" t="s">
        <v>58</v>
      </c>
      <c r="F3" s="47" t="s">
        <v>59</v>
      </c>
      <c r="G3" s="47" t="s">
        <v>60</v>
      </c>
      <c r="H3" s="47" t="s">
        <v>72</v>
      </c>
      <c r="I3" s="46" t="s">
        <v>88</v>
      </c>
      <c r="J3" s="47" t="s">
        <v>61</v>
      </c>
      <c r="K3" s="47" t="s">
        <v>62</v>
      </c>
      <c r="L3" s="47" t="s">
        <v>63</v>
      </c>
      <c r="M3" s="47" t="s">
        <v>73</v>
      </c>
      <c r="N3" s="46" t="s">
        <v>90</v>
      </c>
      <c r="O3" s="47" t="s">
        <v>64</v>
      </c>
      <c r="P3" s="47" t="s">
        <v>65</v>
      </c>
      <c r="Q3" s="47" t="s">
        <v>66</v>
      </c>
      <c r="R3" s="46" t="s">
        <v>91</v>
      </c>
      <c r="S3" s="47" t="s">
        <v>82</v>
      </c>
      <c r="T3" s="47" t="s">
        <v>74</v>
      </c>
      <c r="U3" s="47" t="s">
        <v>75</v>
      </c>
      <c r="V3" s="47" t="s">
        <v>68</v>
      </c>
      <c r="W3" s="47" t="s">
        <v>136</v>
      </c>
      <c r="X3" s="47" t="s">
        <v>70</v>
      </c>
      <c r="Y3" s="46" t="s">
        <v>137</v>
      </c>
      <c r="Z3" s="47" t="s">
        <v>83</v>
      </c>
      <c r="AA3" s="47" t="s">
        <v>77</v>
      </c>
      <c r="AB3" s="47" t="s">
        <v>84</v>
      </c>
      <c r="AC3" s="47" t="s">
        <v>78</v>
      </c>
    </row>
    <row r="4" spans="2:29" ht="15.5" x14ac:dyDescent="0.35">
      <c r="B4" s="48" t="s">
        <v>26</v>
      </c>
      <c r="C4" s="49"/>
      <c r="D4" s="50">
        <v>938.86789999999996</v>
      </c>
      <c r="E4" s="50">
        <v>850.57970000000012</v>
      </c>
      <c r="F4" s="50">
        <v>0</v>
      </c>
      <c r="G4" s="50">
        <v>0</v>
      </c>
      <c r="H4" s="50">
        <v>0</v>
      </c>
      <c r="I4" s="50"/>
      <c r="J4" s="50">
        <v>11186.58</v>
      </c>
      <c r="K4" s="50">
        <v>6311.5950000000003</v>
      </c>
      <c r="L4" s="50">
        <v>0</v>
      </c>
      <c r="M4" s="50">
        <v>8836.5756093890504</v>
      </c>
      <c r="N4" s="50">
        <v>11561.615565659118</v>
      </c>
      <c r="O4" s="50">
        <v>16329.419999999998</v>
      </c>
      <c r="P4" s="50">
        <v>8803.9180000000015</v>
      </c>
      <c r="Q4" s="50">
        <v>10466.959999999999</v>
      </c>
      <c r="R4" s="50"/>
      <c r="S4" s="50">
        <v>582.77044380411144</v>
      </c>
      <c r="T4" s="50">
        <v>581.33715430148197</v>
      </c>
      <c r="U4" s="50">
        <v>617.38049999999998</v>
      </c>
      <c r="V4" s="50">
        <v>0</v>
      </c>
      <c r="W4" s="50">
        <v>0</v>
      </c>
      <c r="X4" s="50">
        <v>389.40980000000002</v>
      </c>
      <c r="Y4" s="50"/>
      <c r="Z4" s="50">
        <v>7460.0505888801708</v>
      </c>
      <c r="AA4" s="50">
        <v>0</v>
      </c>
      <c r="AB4" s="50">
        <v>19473.439999999995</v>
      </c>
      <c r="AC4" s="50">
        <v>11973.395217134906</v>
      </c>
    </row>
    <row r="5" spans="2:29" ht="15.5" x14ac:dyDescent="0.35">
      <c r="B5" s="48" t="s">
        <v>27</v>
      </c>
      <c r="C5" s="49"/>
      <c r="D5" s="50">
        <v>1260.1714705156969</v>
      </c>
      <c r="E5" s="50">
        <v>992.59425094903736</v>
      </c>
      <c r="F5" s="50">
        <v>3790.90879572637</v>
      </c>
      <c r="G5" s="50">
        <v>0</v>
      </c>
      <c r="H5" s="50">
        <v>0</v>
      </c>
      <c r="I5" s="50"/>
      <c r="J5" s="50">
        <v>11478.8</v>
      </c>
      <c r="K5" s="50">
        <v>6663.0351767200764</v>
      </c>
      <c r="L5" s="50">
        <v>3610.0074895587977</v>
      </c>
      <c r="M5" s="50">
        <v>3580.8169022654347</v>
      </c>
      <c r="N5" s="50">
        <v>12503.022799658354</v>
      </c>
      <c r="O5" s="50">
        <v>16720.236992946509</v>
      </c>
      <c r="P5" s="50">
        <v>12635.457876358945</v>
      </c>
      <c r="Q5" s="50">
        <v>9155.7302217292436</v>
      </c>
      <c r="R5" s="50"/>
      <c r="S5" s="50">
        <v>656.58110288531952</v>
      </c>
      <c r="T5" s="50">
        <v>652.26392002766249</v>
      </c>
      <c r="U5" s="50">
        <v>704.39469999999994</v>
      </c>
      <c r="V5" s="50">
        <v>612.37479270589301</v>
      </c>
      <c r="W5" s="50">
        <v>434.18549999999999</v>
      </c>
      <c r="X5" s="50">
        <v>379.46129999999999</v>
      </c>
      <c r="Y5" s="50"/>
      <c r="Z5" s="50">
        <v>8830.2604729544837</v>
      </c>
      <c r="AA5" s="50">
        <v>8821.513003832144</v>
      </c>
      <c r="AB5" s="50">
        <v>6128.6176957122243</v>
      </c>
      <c r="AC5" s="50">
        <v>7542.1494088956752</v>
      </c>
    </row>
    <row r="6" spans="2:29" ht="15.5" x14ac:dyDescent="0.35">
      <c r="B6" s="48" t="s">
        <v>28</v>
      </c>
      <c r="C6" s="49"/>
      <c r="D6" s="50">
        <v>749.69079999999997</v>
      </c>
      <c r="E6" s="50">
        <v>1121.1869999999999</v>
      </c>
      <c r="F6" s="50">
        <v>5289.468758010803</v>
      </c>
      <c r="G6" s="50">
        <v>0</v>
      </c>
      <c r="H6" s="50">
        <v>0</v>
      </c>
      <c r="I6" s="50"/>
      <c r="J6" s="50">
        <v>11805.3</v>
      </c>
      <c r="K6" s="50">
        <v>7264.9659999999994</v>
      </c>
      <c r="L6" s="50">
        <v>0</v>
      </c>
      <c r="M6" s="50">
        <v>5436.7810216586049</v>
      </c>
      <c r="N6" s="50">
        <v>12606.822968068835</v>
      </c>
      <c r="O6" s="50">
        <v>17422.90161268766</v>
      </c>
      <c r="P6" s="50">
        <v>12292.46615747867</v>
      </c>
      <c r="Q6" s="50">
        <v>10125.6</v>
      </c>
      <c r="R6" s="50"/>
      <c r="S6" s="50">
        <v>625.77712487554277</v>
      </c>
      <c r="T6" s="50">
        <v>625.26835449149974</v>
      </c>
      <c r="U6" s="50">
        <v>712.26840000000004</v>
      </c>
      <c r="V6" s="50">
        <v>880.26963637039398</v>
      </c>
      <c r="W6" s="50">
        <v>268.78149999999999</v>
      </c>
      <c r="X6" s="50">
        <v>469.80590000000007</v>
      </c>
      <c r="Y6" s="50"/>
      <c r="Z6" s="50">
        <v>8842.213496678145</v>
      </c>
      <c r="AA6" s="50">
        <v>4571.5631604195805</v>
      </c>
      <c r="AB6" s="50">
        <v>5170.5820000000003</v>
      </c>
      <c r="AC6" s="50">
        <v>2864.2809420989529</v>
      </c>
    </row>
    <row r="7" spans="2:29" ht="15.5" x14ac:dyDescent="0.35">
      <c r="B7" s="48" t="s">
        <v>29</v>
      </c>
      <c r="C7" s="49"/>
      <c r="D7" s="50">
        <v>1258.723</v>
      </c>
      <c r="E7" s="50">
        <v>964.38599999999985</v>
      </c>
      <c r="F7" s="50">
        <v>3928.1782573230921</v>
      </c>
      <c r="G7" s="50">
        <v>0</v>
      </c>
      <c r="H7" s="50">
        <v>903.65869999999995</v>
      </c>
      <c r="I7" s="50"/>
      <c r="J7" s="50">
        <v>15177.89</v>
      </c>
      <c r="K7" s="50">
        <v>8030.0870635243818</v>
      </c>
      <c r="L7" s="50">
        <v>3967.3030000000003</v>
      </c>
      <c r="M7" s="50">
        <v>6147.9270000000006</v>
      </c>
      <c r="N7" s="50">
        <v>9445.5960851356522</v>
      </c>
      <c r="O7" s="50">
        <v>10653.879883115234</v>
      </c>
      <c r="P7" s="50">
        <v>9292.1734782502645</v>
      </c>
      <c r="Q7" s="50">
        <v>8837.4103508002027</v>
      </c>
      <c r="R7" s="50"/>
      <c r="S7" s="50">
        <v>593.21931240091203</v>
      </c>
      <c r="T7" s="50">
        <v>577.88589092072687</v>
      </c>
      <c r="U7" s="50">
        <v>665.99540000000002</v>
      </c>
      <c r="V7" s="50">
        <v>976.08240000000001</v>
      </c>
      <c r="W7" s="50">
        <v>427.91829999999999</v>
      </c>
      <c r="X7" s="50">
        <v>370.57220000000001</v>
      </c>
      <c r="Y7" s="50"/>
      <c r="Z7" s="50">
        <v>6881.5454094276347</v>
      </c>
      <c r="AA7" s="50">
        <v>1478.1759999999997</v>
      </c>
      <c r="AB7" s="50">
        <v>9797.9089999999997</v>
      </c>
      <c r="AC7" s="50">
        <v>2457.7802449892251</v>
      </c>
    </row>
    <row r="8" spans="2:29" ht="15.5" x14ac:dyDescent="0.35">
      <c r="B8" s="48" t="s">
        <v>30</v>
      </c>
      <c r="C8" s="49"/>
      <c r="D8" s="50">
        <v>977.25214325420507</v>
      </c>
      <c r="E8" s="50">
        <v>1019.984</v>
      </c>
      <c r="F8" s="50">
        <v>3495.8800949943952</v>
      </c>
      <c r="G8" s="50">
        <v>0</v>
      </c>
      <c r="H8" s="50">
        <v>981.7290999999999</v>
      </c>
      <c r="I8" s="50"/>
      <c r="J8" s="50">
        <v>14857.430000000002</v>
      </c>
      <c r="K8" s="50">
        <v>7743.3419999999996</v>
      </c>
      <c r="L8" s="50">
        <v>3814.527</v>
      </c>
      <c r="M8" s="50">
        <v>9501.491</v>
      </c>
      <c r="N8" s="50">
        <v>10857.320970555535</v>
      </c>
      <c r="O8" s="50">
        <v>15246.730000000001</v>
      </c>
      <c r="P8" s="50">
        <v>9443.0930000000008</v>
      </c>
      <c r="Q8" s="50">
        <v>10090.049999999999</v>
      </c>
      <c r="R8" s="50"/>
      <c r="S8" s="50">
        <v>633.81689824063869</v>
      </c>
      <c r="T8" s="50">
        <v>600.03600085374205</v>
      </c>
      <c r="U8" s="50">
        <v>837.87010000000009</v>
      </c>
      <c r="V8" s="50">
        <v>618.33040000000005</v>
      </c>
      <c r="W8" s="50">
        <v>398.87240000000008</v>
      </c>
      <c r="X8" s="50">
        <v>386.64460000000008</v>
      </c>
      <c r="Y8" s="50"/>
      <c r="Z8" s="50">
        <v>7174.8945302312432</v>
      </c>
      <c r="AA8" s="50">
        <v>20100.47</v>
      </c>
      <c r="AB8" s="50">
        <v>0</v>
      </c>
      <c r="AC8" s="50">
        <v>1639.9000000000003</v>
      </c>
    </row>
    <row r="9" spans="2:29" ht="15.5" x14ac:dyDescent="0.35">
      <c r="B9" s="48" t="s">
        <v>31</v>
      </c>
      <c r="C9" s="49"/>
      <c r="D9" s="50">
        <v>1135.0224427372518</v>
      </c>
      <c r="E9" s="50">
        <v>807.53459999999995</v>
      </c>
      <c r="F9" s="50">
        <v>2739.3655482405711</v>
      </c>
      <c r="G9" s="50">
        <v>608.0752</v>
      </c>
      <c r="H9" s="50">
        <v>912.12459999999999</v>
      </c>
      <c r="I9" s="50"/>
      <c r="J9" s="50">
        <v>13222.31</v>
      </c>
      <c r="K9" s="50">
        <v>9228.2270000000008</v>
      </c>
      <c r="L9" s="50">
        <v>7515.5821577118377</v>
      </c>
      <c r="M9" s="50">
        <v>8314.0540000000001</v>
      </c>
      <c r="N9" s="50">
        <v>9464.7629535777251</v>
      </c>
      <c r="O9" s="50">
        <v>13170.171397604412</v>
      </c>
      <c r="P9" s="50">
        <v>8888.5790222065316</v>
      </c>
      <c r="Q9" s="50">
        <v>7733.46</v>
      </c>
      <c r="R9" s="50"/>
      <c r="S9" s="50">
        <v>763.90241703615072</v>
      </c>
      <c r="T9" s="50">
        <v>514.60230000000001</v>
      </c>
      <c r="U9" s="50">
        <v>798.61788196282384</v>
      </c>
      <c r="V9" s="50">
        <v>803.46239999999989</v>
      </c>
      <c r="W9" s="50">
        <v>366.70640000000003</v>
      </c>
      <c r="X9" s="50">
        <v>407.04637384817852</v>
      </c>
      <c r="Y9" s="50"/>
      <c r="Z9" s="50">
        <v>8527.1317421130061</v>
      </c>
      <c r="AA9" s="50">
        <v>3532.348</v>
      </c>
      <c r="AB9" s="50">
        <v>10770.117237245004</v>
      </c>
      <c r="AC9" s="50">
        <v>2553.0332215671488</v>
      </c>
    </row>
    <row r="10" spans="2:29" ht="15.5" x14ac:dyDescent="0.35">
      <c r="B10" s="48" t="s">
        <v>32</v>
      </c>
      <c r="C10" s="49"/>
      <c r="D10" s="50">
        <v>1081.0242842160487</v>
      </c>
      <c r="E10" s="50">
        <v>1030.433</v>
      </c>
      <c r="F10" s="50">
        <v>4390.9696639721769</v>
      </c>
      <c r="G10" s="50">
        <v>0</v>
      </c>
      <c r="H10" s="50">
        <v>593.9692</v>
      </c>
      <c r="I10" s="50"/>
      <c r="J10" s="50">
        <v>16928.86</v>
      </c>
      <c r="K10" s="50">
        <v>8340.9559999999983</v>
      </c>
      <c r="L10" s="50">
        <v>3952.2739999999999</v>
      </c>
      <c r="M10" s="50">
        <v>13122.8</v>
      </c>
      <c r="N10" s="50">
        <v>9825.6498745541176</v>
      </c>
      <c r="O10" s="50">
        <v>11642.688493582786</v>
      </c>
      <c r="P10" s="50">
        <v>10713.826464785374</v>
      </c>
      <c r="Q10" s="50">
        <v>8195.9590000000007</v>
      </c>
      <c r="R10" s="50"/>
      <c r="S10" s="50">
        <v>608.55093504170361</v>
      </c>
      <c r="T10" s="50">
        <v>536.1460038938493</v>
      </c>
      <c r="U10" s="50">
        <v>736.06640000000016</v>
      </c>
      <c r="V10" s="50">
        <v>585.91859999999997</v>
      </c>
      <c r="W10" s="50">
        <v>482.73540000000003</v>
      </c>
      <c r="X10" s="50">
        <v>375.6789</v>
      </c>
      <c r="Y10" s="50"/>
      <c r="Z10" s="50">
        <v>8085.5968368460899</v>
      </c>
      <c r="AA10" s="50">
        <v>5136.4095824194837</v>
      </c>
      <c r="AB10" s="50">
        <v>7265.7469904711215</v>
      </c>
      <c r="AC10" s="50">
        <v>1567.610385782644</v>
      </c>
    </row>
    <row r="11" spans="2:29" ht="15.5" x14ac:dyDescent="0.35">
      <c r="B11" s="48" t="s">
        <v>33</v>
      </c>
      <c r="C11" s="49"/>
      <c r="D11" s="50">
        <v>1162.4939999999999</v>
      </c>
      <c r="E11" s="50">
        <v>927.96515425825589</v>
      </c>
      <c r="F11" s="50">
        <v>1438.3742724139061</v>
      </c>
      <c r="G11" s="50">
        <v>1408.0949435340262</v>
      </c>
      <c r="H11" s="50">
        <v>0</v>
      </c>
      <c r="I11" s="50"/>
      <c r="J11" s="50">
        <v>13134.070000000002</v>
      </c>
      <c r="K11" s="50">
        <v>8197.4159999999993</v>
      </c>
      <c r="L11" s="50">
        <v>7781.0737314984217</v>
      </c>
      <c r="M11" s="50">
        <v>7416.1630000000005</v>
      </c>
      <c r="N11" s="50">
        <v>6688.5307094892087</v>
      </c>
      <c r="O11" s="50">
        <v>9704.1849999999995</v>
      </c>
      <c r="P11" s="50">
        <v>11169.76</v>
      </c>
      <c r="Q11" s="50">
        <v>5984.1360000000004</v>
      </c>
      <c r="R11" s="50"/>
      <c r="S11" s="50">
        <v>639.32311535862334</v>
      </c>
      <c r="T11" s="50">
        <v>449.34360000000004</v>
      </c>
      <c r="U11" s="50">
        <v>662.33311431876712</v>
      </c>
      <c r="V11" s="50">
        <v>566.54389350599263</v>
      </c>
      <c r="W11" s="50">
        <v>0</v>
      </c>
      <c r="X11" s="50">
        <v>463.59079999999994</v>
      </c>
      <c r="Y11" s="50"/>
      <c r="Z11" s="50">
        <v>7772.6044564076956</v>
      </c>
      <c r="AA11" s="50">
        <v>5965.0990000000002</v>
      </c>
      <c r="AB11" s="50">
        <v>4849.2744593059442</v>
      </c>
      <c r="AC11" s="50">
        <v>1426.9379623888021</v>
      </c>
    </row>
    <row r="12" spans="2:29" ht="15.5" x14ac:dyDescent="0.35">
      <c r="B12" s="48" t="s">
        <v>34</v>
      </c>
      <c r="C12" s="49"/>
      <c r="D12" s="50">
        <v>877.13959999999986</v>
      </c>
      <c r="E12" s="50">
        <v>1067.279</v>
      </c>
      <c r="F12" s="50">
        <v>4495.0669822990276</v>
      </c>
      <c r="G12" s="50">
        <v>0</v>
      </c>
      <c r="H12" s="50">
        <v>701.47310000000004</v>
      </c>
      <c r="I12" s="50"/>
      <c r="J12" s="50">
        <v>17703.042146499047</v>
      </c>
      <c r="K12" s="50">
        <v>6522.7250000000004</v>
      </c>
      <c r="L12" s="50">
        <v>2963.7089999999998</v>
      </c>
      <c r="M12" s="50">
        <v>7734.2095278512597</v>
      </c>
      <c r="N12" s="50">
        <v>9333.6781935786912</v>
      </c>
      <c r="O12" s="50">
        <v>13524.888988793522</v>
      </c>
      <c r="P12" s="50">
        <v>12054.806416322246</v>
      </c>
      <c r="Q12" s="50">
        <v>8435.3040000000001</v>
      </c>
      <c r="R12" s="50"/>
      <c r="S12" s="50">
        <v>579.02100903815779</v>
      </c>
      <c r="T12" s="50">
        <v>582.85663728978034</v>
      </c>
      <c r="U12" s="50">
        <v>568.34730000000002</v>
      </c>
      <c r="V12" s="50">
        <v>451.67040000000003</v>
      </c>
      <c r="W12" s="50">
        <v>418.14883896583922</v>
      </c>
      <c r="X12" s="50">
        <v>394.03809999999999</v>
      </c>
      <c r="Y12" s="50"/>
      <c r="Z12" s="50">
        <v>7181.3146063452568</v>
      </c>
      <c r="AA12" s="50">
        <v>4757.7629999999999</v>
      </c>
      <c r="AB12" s="50">
        <v>8056.9972488454232</v>
      </c>
      <c r="AC12" s="50">
        <v>2686.3695224884659</v>
      </c>
    </row>
    <row r="13" spans="2:29" ht="15.5" x14ac:dyDescent="0.35">
      <c r="B13" s="48" t="s">
        <v>35</v>
      </c>
      <c r="C13" s="49"/>
      <c r="D13" s="50">
        <v>1033.7434379966014</v>
      </c>
      <c r="E13" s="50">
        <v>1188.6300000000001</v>
      </c>
      <c r="F13" s="50">
        <v>2683.213699863617</v>
      </c>
      <c r="G13" s="50">
        <v>1104.6344234224484</v>
      </c>
      <c r="H13" s="50">
        <v>0</v>
      </c>
      <c r="I13" s="50"/>
      <c r="J13" s="50">
        <v>16570.579999999998</v>
      </c>
      <c r="K13" s="50">
        <v>8208.9980000000014</v>
      </c>
      <c r="L13" s="50">
        <v>4071.2008017322228</v>
      </c>
      <c r="M13" s="50">
        <v>7096.5396009733249</v>
      </c>
      <c r="N13" s="50">
        <v>10280.769291887638</v>
      </c>
      <c r="O13" s="50">
        <v>15001.079999999998</v>
      </c>
      <c r="P13" s="50">
        <v>10449.709999999997</v>
      </c>
      <c r="Q13" s="50">
        <v>9663.7249999999985</v>
      </c>
      <c r="R13" s="50"/>
      <c r="S13" s="50">
        <v>648.99480049403041</v>
      </c>
      <c r="T13" s="50">
        <v>600.65499999999997</v>
      </c>
      <c r="U13" s="50">
        <v>678.96089634576026</v>
      </c>
      <c r="V13" s="50">
        <v>591.07050000000004</v>
      </c>
      <c r="W13" s="50">
        <v>384.18349999999998</v>
      </c>
      <c r="X13" s="50">
        <v>473.29090000000008</v>
      </c>
      <c r="Y13" s="50"/>
      <c r="Z13" s="50">
        <v>7481.1169720635125</v>
      </c>
      <c r="AA13" s="50">
        <v>7010.8419999999996</v>
      </c>
      <c r="AB13" s="50">
        <v>14188.396872808422</v>
      </c>
      <c r="AC13" s="50">
        <v>4697.6766428024612</v>
      </c>
    </row>
    <row r="14" spans="2:29" ht="15.5" x14ac:dyDescent="0.35">
      <c r="B14" s="48" t="s">
        <v>36</v>
      </c>
      <c r="C14" s="49"/>
      <c r="D14" s="50">
        <v>1166.220304636784</v>
      </c>
      <c r="E14" s="50">
        <v>1065.221</v>
      </c>
      <c r="F14" s="50">
        <v>3214.7045486464608</v>
      </c>
      <c r="G14" s="50">
        <v>0</v>
      </c>
      <c r="H14" s="50">
        <v>482.40359999999993</v>
      </c>
      <c r="I14" s="50"/>
      <c r="J14" s="50">
        <v>14412.769999999999</v>
      </c>
      <c r="K14" s="50">
        <v>7007.7139999999999</v>
      </c>
      <c r="L14" s="50">
        <v>5572.3989999999994</v>
      </c>
      <c r="M14" s="50">
        <v>8331.5980945339088</v>
      </c>
      <c r="N14" s="50">
        <v>10536.422444987977</v>
      </c>
      <c r="O14" s="50">
        <v>15018.200000000003</v>
      </c>
      <c r="P14" s="50">
        <v>10471.94</v>
      </c>
      <c r="Q14" s="50">
        <v>9750.9389999999985</v>
      </c>
      <c r="R14" s="50"/>
      <c r="S14" s="50">
        <v>539.47482149726045</v>
      </c>
      <c r="T14" s="50">
        <v>541.01861948650162</v>
      </c>
      <c r="U14" s="50">
        <v>532.15460000000007</v>
      </c>
      <c r="V14" s="50">
        <v>446.09100000000007</v>
      </c>
      <c r="W14" s="50">
        <v>543.85130000000004</v>
      </c>
      <c r="X14" s="50">
        <v>333.74329999999998</v>
      </c>
      <c r="Y14" s="50"/>
      <c r="Z14" s="50">
        <v>5426.4571941995055</v>
      </c>
      <c r="AA14" s="50">
        <v>6826.4451769484449</v>
      </c>
      <c r="AB14" s="50">
        <v>17835.88</v>
      </c>
      <c r="AC14" s="50">
        <v>5947.7028776418401</v>
      </c>
    </row>
    <row r="15" spans="2:29" ht="15.5" x14ac:dyDescent="0.35">
      <c r="B15" s="48" t="s">
        <v>37</v>
      </c>
      <c r="C15" s="49"/>
      <c r="D15" s="50">
        <v>1075.06</v>
      </c>
      <c r="E15" s="50">
        <v>1086.0129999999999</v>
      </c>
      <c r="F15" s="50">
        <v>0</v>
      </c>
      <c r="G15" s="50">
        <v>589.49300000000005</v>
      </c>
      <c r="H15" s="50">
        <v>0</v>
      </c>
      <c r="I15" s="50"/>
      <c r="J15" s="50">
        <v>14655.159999999998</v>
      </c>
      <c r="K15" s="50">
        <v>8231.6720000000023</v>
      </c>
      <c r="L15" s="50">
        <v>3543.7750000000001</v>
      </c>
      <c r="M15" s="50">
        <v>8988.1549999999988</v>
      </c>
      <c r="N15" s="50">
        <v>11820.629004382836</v>
      </c>
      <c r="O15" s="50">
        <v>15847.55</v>
      </c>
      <c r="P15" s="50">
        <v>11972.71</v>
      </c>
      <c r="Q15" s="50">
        <v>11318.829999999998</v>
      </c>
      <c r="R15" s="50"/>
      <c r="S15" s="50">
        <v>946.71573345505806</v>
      </c>
      <c r="T15" s="50">
        <v>627.80310000000009</v>
      </c>
      <c r="U15" s="50">
        <v>1042.8699999999999</v>
      </c>
      <c r="V15" s="50">
        <v>570.92610000000002</v>
      </c>
      <c r="W15" s="50">
        <v>637.31679999999994</v>
      </c>
      <c r="X15" s="50">
        <v>414.76619999999997</v>
      </c>
      <c r="Y15" s="50"/>
      <c r="Z15" s="50">
        <v>9362.8152725291711</v>
      </c>
      <c r="AA15" s="50">
        <v>5466.7801245384844</v>
      </c>
      <c r="AB15" s="50">
        <v>12942.188774835979</v>
      </c>
      <c r="AC15" s="50">
        <v>1604.1853537723498</v>
      </c>
    </row>
    <row r="16" spans="2:29" ht="15.5" x14ac:dyDescent="0.35">
      <c r="B16" s="48" t="s">
        <v>38</v>
      </c>
      <c r="C16" s="49"/>
      <c r="D16" s="50">
        <v>1118.8219999999997</v>
      </c>
      <c r="E16" s="50">
        <v>772.52739999999994</v>
      </c>
      <c r="F16" s="50">
        <v>0</v>
      </c>
      <c r="G16" s="50">
        <v>0</v>
      </c>
      <c r="H16" s="50">
        <v>0</v>
      </c>
      <c r="I16" s="50"/>
      <c r="J16" s="50">
        <v>14946.150000000001</v>
      </c>
      <c r="K16" s="50">
        <v>7694.9520000000011</v>
      </c>
      <c r="L16" s="50">
        <v>4819.7529999999997</v>
      </c>
      <c r="M16" s="50">
        <v>8696.4509999999991</v>
      </c>
      <c r="N16" s="50">
        <v>11978.357726598117</v>
      </c>
      <c r="O16" s="50">
        <v>16775.739999999998</v>
      </c>
      <c r="P16" s="50">
        <v>14156.349999999999</v>
      </c>
      <c r="Q16" s="50">
        <v>9704.8279999999995</v>
      </c>
      <c r="R16" s="50"/>
      <c r="S16" s="50">
        <v>845.81482429749371</v>
      </c>
      <c r="T16" s="50">
        <v>640.62759999999992</v>
      </c>
      <c r="U16" s="50">
        <v>874.20009999999991</v>
      </c>
      <c r="V16" s="50">
        <v>510.75619999999998</v>
      </c>
      <c r="W16" s="50">
        <v>0</v>
      </c>
      <c r="X16" s="50">
        <v>420.09890000000001</v>
      </c>
      <c r="Y16" s="50"/>
      <c r="Z16" s="50">
        <v>8348.9512424310142</v>
      </c>
      <c r="AA16" s="50">
        <v>3053.461102170178</v>
      </c>
      <c r="AB16" s="50">
        <v>7393.3630000000003</v>
      </c>
      <c r="AC16" s="50">
        <v>7294.3061561072591</v>
      </c>
    </row>
    <row r="17" spans="2:29" ht="15.5" x14ac:dyDescent="0.35">
      <c r="B17" s="48" t="s">
        <v>39</v>
      </c>
      <c r="C17" s="49"/>
      <c r="D17" s="50">
        <v>1413.27484410492</v>
      </c>
      <c r="E17" s="50">
        <v>792.82309999999984</v>
      </c>
      <c r="F17" s="50">
        <v>0</v>
      </c>
      <c r="G17" s="50">
        <v>0</v>
      </c>
      <c r="H17" s="50">
        <v>0</v>
      </c>
      <c r="I17" s="50"/>
      <c r="J17" s="50">
        <v>12743.329999999998</v>
      </c>
      <c r="K17" s="50">
        <v>7969.110999999999</v>
      </c>
      <c r="L17" s="50">
        <v>8615.2642117012147</v>
      </c>
      <c r="M17" s="50">
        <v>5851.299</v>
      </c>
      <c r="N17" s="50">
        <v>12135.863511111243</v>
      </c>
      <c r="O17" s="50">
        <v>15909.165147586546</v>
      </c>
      <c r="P17" s="50">
        <v>11890.379316177301</v>
      </c>
      <c r="Q17" s="50">
        <v>10192.21956817239</v>
      </c>
      <c r="R17" s="50"/>
      <c r="S17" s="50">
        <v>784.54026805830131</v>
      </c>
      <c r="T17" s="50">
        <v>590.02750000000003</v>
      </c>
      <c r="U17" s="50">
        <v>812.59899999999993</v>
      </c>
      <c r="V17" s="50">
        <v>436.31289999999996</v>
      </c>
      <c r="W17" s="50">
        <v>0</v>
      </c>
      <c r="X17" s="50">
        <v>554.00749999999994</v>
      </c>
      <c r="Y17" s="50"/>
      <c r="Z17" s="50">
        <v>12257.828202761937</v>
      </c>
      <c r="AA17" s="50">
        <v>7250.7960000000003</v>
      </c>
      <c r="AB17" s="50">
        <v>18079.634737979184</v>
      </c>
      <c r="AC17" s="50">
        <v>5256.1357436888047</v>
      </c>
    </row>
    <row r="18" spans="2:29" ht="15.5" x14ac:dyDescent="0.35">
      <c r="B18" s="48" t="s">
        <v>40</v>
      </c>
      <c r="C18" s="49"/>
      <c r="D18" s="50">
        <v>1335.3489999999999</v>
      </c>
      <c r="E18" s="50">
        <v>0</v>
      </c>
      <c r="F18" s="50">
        <v>0</v>
      </c>
      <c r="G18" s="50">
        <v>1285.1420000000001</v>
      </c>
      <c r="H18" s="50">
        <v>0</v>
      </c>
      <c r="I18" s="50"/>
      <c r="J18" s="50">
        <v>10060.26</v>
      </c>
      <c r="K18" s="50">
        <v>7558.0829999999987</v>
      </c>
      <c r="L18" s="50">
        <v>8577.0049110363943</v>
      </c>
      <c r="M18" s="50">
        <v>8081.5089999999991</v>
      </c>
      <c r="N18" s="50">
        <v>9978.0387004855456</v>
      </c>
      <c r="O18" s="50">
        <v>15018.19</v>
      </c>
      <c r="P18" s="50">
        <v>8371.7330000000002</v>
      </c>
      <c r="Q18" s="50">
        <v>7734.6729999999998</v>
      </c>
      <c r="R18" s="50"/>
      <c r="S18" s="50">
        <v>1021.7928572524348</v>
      </c>
      <c r="T18" s="50">
        <v>738.23239999999998</v>
      </c>
      <c r="U18" s="50">
        <v>1028.6139999999998</v>
      </c>
      <c r="V18" s="50">
        <v>682.33919999999989</v>
      </c>
      <c r="W18" s="50">
        <v>0</v>
      </c>
      <c r="X18" s="50">
        <v>616.77620000000002</v>
      </c>
      <c r="Y18" s="50"/>
      <c r="Z18" s="50">
        <v>15906.01475504872</v>
      </c>
      <c r="AA18" s="50">
        <v>5903.6042660944595</v>
      </c>
      <c r="AB18" s="50">
        <v>12327.088121197477</v>
      </c>
      <c r="AC18" s="50">
        <v>1134.4354460531326</v>
      </c>
    </row>
    <row r="19" spans="2:29" ht="15.5" x14ac:dyDescent="0.35">
      <c r="B19" s="48" t="s">
        <v>41</v>
      </c>
      <c r="C19" s="49"/>
      <c r="D19" s="50">
        <v>1161.1780000000001</v>
      </c>
      <c r="E19" s="50">
        <v>0</v>
      </c>
      <c r="F19" s="50">
        <v>0</v>
      </c>
      <c r="G19" s="50">
        <v>1128.6120000000001</v>
      </c>
      <c r="H19" s="50">
        <v>0</v>
      </c>
      <c r="I19" s="50"/>
      <c r="J19" s="50">
        <v>10312.08</v>
      </c>
      <c r="K19" s="50">
        <v>7257.7330000000002</v>
      </c>
      <c r="L19" s="50">
        <v>5285.33</v>
      </c>
      <c r="M19" s="50">
        <v>8708.7780000000002</v>
      </c>
      <c r="N19" s="50">
        <v>10917.601374328882</v>
      </c>
      <c r="O19" s="50">
        <v>14795.42</v>
      </c>
      <c r="P19" s="50">
        <v>11660.379999999997</v>
      </c>
      <c r="Q19" s="50">
        <v>10577.820000000002</v>
      </c>
      <c r="R19" s="50"/>
      <c r="S19" s="50">
        <v>964.26279120250558</v>
      </c>
      <c r="T19" s="50">
        <v>533.94830000000002</v>
      </c>
      <c r="U19" s="50">
        <v>1012.564</v>
      </c>
      <c r="V19" s="50">
        <v>472.94170000000003</v>
      </c>
      <c r="W19" s="50">
        <v>0</v>
      </c>
      <c r="X19" s="50">
        <v>401.89719999999994</v>
      </c>
      <c r="Y19" s="50"/>
      <c r="Z19" s="50">
        <v>9794.0453275866748</v>
      </c>
      <c r="AA19" s="50">
        <v>3155.1849999999995</v>
      </c>
      <c r="AB19" s="50">
        <v>13135.589999999998</v>
      </c>
      <c r="AC19" s="50">
        <v>8434.9434659961898</v>
      </c>
    </row>
    <row r="20" spans="2:29" ht="15.5" x14ac:dyDescent="0.35">
      <c r="B20" s="48" t="s">
        <v>42</v>
      </c>
      <c r="C20" s="49"/>
      <c r="D20" s="50">
        <v>982.93332622613821</v>
      </c>
      <c r="E20" s="50">
        <v>823.22596092711433</v>
      </c>
      <c r="F20" s="50">
        <v>4859.2677527275519</v>
      </c>
      <c r="G20" s="50">
        <v>0</v>
      </c>
      <c r="H20" s="50">
        <v>0</v>
      </c>
      <c r="I20" s="50"/>
      <c r="J20" s="50">
        <v>11267.378912512184</v>
      </c>
      <c r="K20" s="50">
        <v>8651.8397983145715</v>
      </c>
      <c r="L20" s="50">
        <v>7219.543999999999</v>
      </c>
      <c r="M20" s="50">
        <v>9392.1679999999997</v>
      </c>
      <c r="N20" s="50">
        <v>12587.614860103773</v>
      </c>
      <c r="O20" s="50">
        <v>16475.749999999996</v>
      </c>
      <c r="P20" s="50">
        <v>11727.459999999997</v>
      </c>
      <c r="Q20" s="50">
        <v>10036.709999999999</v>
      </c>
      <c r="R20" s="50"/>
      <c r="S20" s="50">
        <v>778.89757429946894</v>
      </c>
      <c r="T20" s="50">
        <v>731.1953565814797</v>
      </c>
      <c r="U20" s="50">
        <v>905.02829999999994</v>
      </c>
      <c r="V20" s="50">
        <v>521.10410000000002</v>
      </c>
      <c r="W20" s="50">
        <v>622.98490000000004</v>
      </c>
      <c r="X20" s="50">
        <v>376.46759999999995</v>
      </c>
      <c r="Y20" s="50"/>
      <c r="Z20" s="50">
        <v>7900.2145307374249</v>
      </c>
      <c r="AA20" s="50">
        <v>6579.4251569116032</v>
      </c>
      <c r="AB20" s="50">
        <v>12099.332351212857</v>
      </c>
      <c r="AC20" s="50">
        <v>2704.9713753755782</v>
      </c>
    </row>
    <row r="21" spans="2:29" ht="15.5" x14ac:dyDescent="0.35">
      <c r="B21" s="48" t="s">
        <v>43</v>
      </c>
      <c r="C21" s="49"/>
      <c r="D21" s="50">
        <v>1047.1880000000003</v>
      </c>
      <c r="E21" s="50">
        <v>0</v>
      </c>
      <c r="F21" s="50">
        <v>4408.5770646425217</v>
      </c>
      <c r="G21" s="50">
        <v>0</v>
      </c>
      <c r="H21" s="50">
        <v>0</v>
      </c>
      <c r="I21" s="50"/>
      <c r="J21" s="50">
        <v>12994.56</v>
      </c>
      <c r="K21" s="50">
        <v>8435.3740000000016</v>
      </c>
      <c r="L21" s="50">
        <v>4538.3599999999997</v>
      </c>
      <c r="M21" s="50">
        <v>6936.8304453593119</v>
      </c>
      <c r="N21" s="50">
        <v>11054.020888756906</v>
      </c>
      <c r="O21" s="50">
        <v>13181.39</v>
      </c>
      <c r="P21" s="50">
        <v>11066.89</v>
      </c>
      <c r="Q21" s="50">
        <v>10151.76</v>
      </c>
      <c r="R21" s="50"/>
      <c r="S21" s="50">
        <v>782.72149328878095</v>
      </c>
      <c r="T21" s="50">
        <v>583.01549999999997</v>
      </c>
      <c r="U21" s="50">
        <v>827.23080000000004</v>
      </c>
      <c r="V21" s="50">
        <v>538.6232</v>
      </c>
      <c r="W21" s="50">
        <v>458.53370000000001</v>
      </c>
      <c r="X21" s="50">
        <v>393.01910000000004</v>
      </c>
      <c r="Y21" s="50"/>
      <c r="Z21" s="50">
        <v>9203.4334727571131</v>
      </c>
      <c r="AA21" s="50">
        <v>4903.7228052270648</v>
      </c>
      <c r="AB21" s="50">
        <v>2192.1320000000001</v>
      </c>
      <c r="AC21" s="50">
        <v>2047.9160674236559</v>
      </c>
    </row>
    <row r="22" spans="2:29" ht="15.5" x14ac:dyDescent="0.35">
      <c r="B22" s="48" t="s">
        <v>44</v>
      </c>
      <c r="C22" s="49"/>
      <c r="D22" s="50">
        <v>1011.3489999999998</v>
      </c>
      <c r="E22" s="50">
        <v>1061.8496725253949</v>
      </c>
      <c r="F22" s="50">
        <v>4509.7726361800551</v>
      </c>
      <c r="G22" s="50">
        <v>1099.7221083755117</v>
      </c>
      <c r="H22" s="50">
        <v>0</v>
      </c>
      <c r="I22" s="50"/>
      <c r="J22" s="50">
        <v>16328.43</v>
      </c>
      <c r="K22" s="50">
        <v>8984.0650000000005</v>
      </c>
      <c r="L22" s="50">
        <v>4435.7739226746144</v>
      </c>
      <c r="M22" s="50">
        <v>4977.7179999999998</v>
      </c>
      <c r="N22" s="50">
        <v>12077.989367690536</v>
      </c>
      <c r="O22" s="50">
        <v>16793.949999999997</v>
      </c>
      <c r="P22" s="50">
        <v>12181.54</v>
      </c>
      <c r="Q22" s="50">
        <v>9972.5110000000004</v>
      </c>
      <c r="R22" s="50"/>
      <c r="S22" s="50">
        <v>854.91131858974097</v>
      </c>
      <c r="T22" s="50">
        <v>622.46609999999987</v>
      </c>
      <c r="U22" s="50">
        <v>996.11875815448298</v>
      </c>
      <c r="V22" s="50">
        <v>430.04840000000002</v>
      </c>
      <c r="W22" s="50">
        <v>0</v>
      </c>
      <c r="X22" s="50">
        <v>412.51280000000003</v>
      </c>
      <c r="Y22" s="50"/>
      <c r="Z22" s="50">
        <v>9095.2832390650983</v>
      </c>
      <c r="AA22" s="50">
        <v>10028.801243019314</v>
      </c>
      <c r="AB22" s="50">
        <v>9199.9599999999991</v>
      </c>
      <c r="AC22" s="50">
        <v>6167.8562091796139</v>
      </c>
    </row>
    <row r="23" spans="2:29" ht="15.5" x14ac:dyDescent="0.35">
      <c r="B23" s="48" t="s">
        <v>45</v>
      </c>
      <c r="C23" s="49"/>
      <c r="D23" s="50">
        <v>968.11509999999998</v>
      </c>
      <c r="E23" s="50">
        <v>1286.962</v>
      </c>
      <c r="F23" s="50">
        <v>4215.5096778397601</v>
      </c>
      <c r="G23" s="50">
        <v>1089.0809999999999</v>
      </c>
      <c r="H23" s="50">
        <v>0</v>
      </c>
      <c r="I23" s="50"/>
      <c r="J23" s="50">
        <v>15624.070000000002</v>
      </c>
      <c r="K23" s="50">
        <v>10186.26</v>
      </c>
      <c r="L23" s="50">
        <v>5629.2850000000008</v>
      </c>
      <c r="M23" s="50">
        <v>8484.6139999999996</v>
      </c>
      <c r="N23" s="50">
        <v>11540.735010309269</v>
      </c>
      <c r="O23" s="50">
        <v>17018.070000000003</v>
      </c>
      <c r="P23" s="50">
        <v>14991.03</v>
      </c>
      <c r="Q23" s="50">
        <v>9432.4060000000009</v>
      </c>
      <c r="R23" s="50"/>
      <c r="S23" s="50">
        <v>866.61702755748581</v>
      </c>
      <c r="T23" s="50">
        <v>659.71210000000008</v>
      </c>
      <c r="U23" s="50">
        <v>887.35299999999995</v>
      </c>
      <c r="V23" s="50">
        <v>475.03529999999995</v>
      </c>
      <c r="W23" s="50">
        <v>0</v>
      </c>
      <c r="X23" s="50">
        <v>442.51039999999995</v>
      </c>
      <c r="Y23" s="50"/>
      <c r="Z23" s="50">
        <v>9237.8631862636375</v>
      </c>
      <c r="AA23" s="50">
        <v>6507.9269938090438</v>
      </c>
      <c r="AB23" s="50">
        <v>5214.0939999999991</v>
      </c>
      <c r="AC23" s="50">
        <v>11658.55949624459</v>
      </c>
    </row>
    <row r="24" spans="2:29" ht="15.5" x14ac:dyDescent="0.35">
      <c r="B24" s="48" t="s">
        <v>46</v>
      </c>
      <c r="C24" s="49"/>
      <c r="D24" s="50">
        <v>1502.7260000000003</v>
      </c>
      <c r="E24" s="50">
        <v>1290.6569999999999</v>
      </c>
      <c r="F24" s="50">
        <v>0</v>
      </c>
      <c r="G24" s="50">
        <v>1416.9342994529641</v>
      </c>
      <c r="H24" s="50">
        <v>0</v>
      </c>
      <c r="I24" s="50"/>
      <c r="J24" s="50">
        <v>11938.15</v>
      </c>
      <c r="K24" s="50">
        <v>8822.4609999999993</v>
      </c>
      <c r="L24" s="50">
        <v>9059.7766575640799</v>
      </c>
      <c r="M24" s="50">
        <v>9638.7659999999978</v>
      </c>
      <c r="N24" s="50">
        <v>9888.7747239334585</v>
      </c>
      <c r="O24" s="50">
        <v>12446.53</v>
      </c>
      <c r="P24" s="50">
        <v>7717.6040000000003</v>
      </c>
      <c r="Q24" s="50">
        <v>8206.9410000000007</v>
      </c>
      <c r="R24" s="50"/>
      <c r="S24" s="50">
        <v>1079.766352737593</v>
      </c>
      <c r="T24" s="50">
        <v>761.08830000000012</v>
      </c>
      <c r="U24" s="50">
        <v>1094.6579999999999</v>
      </c>
      <c r="V24" s="50">
        <v>625.09607467429885</v>
      </c>
      <c r="W24" s="50">
        <v>0</v>
      </c>
      <c r="X24" s="50">
        <v>509.82640000000004</v>
      </c>
      <c r="Y24" s="50"/>
      <c r="Z24" s="50">
        <v>10196.037871973807</v>
      </c>
      <c r="AA24" s="50">
        <v>2378.7480529625918</v>
      </c>
      <c r="AB24" s="50">
        <v>3997.8520497514523</v>
      </c>
      <c r="AC24" s="50">
        <v>10951.871300237806</v>
      </c>
    </row>
    <row r="25" spans="2:29" ht="15.5" x14ac:dyDescent="0.35">
      <c r="B25" s="48" t="s">
        <v>47</v>
      </c>
      <c r="C25" s="49"/>
      <c r="D25" s="50">
        <v>1304.9949999999999</v>
      </c>
      <c r="E25" s="50">
        <v>1329.499</v>
      </c>
      <c r="F25" s="50">
        <v>0</v>
      </c>
      <c r="G25" s="50">
        <v>1518.04</v>
      </c>
      <c r="H25" s="50">
        <v>0</v>
      </c>
      <c r="I25" s="50"/>
      <c r="J25" s="50">
        <v>12511.78</v>
      </c>
      <c r="K25" s="50">
        <v>8130.2769999999991</v>
      </c>
      <c r="L25" s="50">
        <v>7267.3539999999994</v>
      </c>
      <c r="M25" s="50">
        <v>7280.0129999999981</v>
      </c>
      <c r="N25" s="50">
        <v>12922.277118548616</v>
      </c>
      <c r="O25" s="50">
        <v>17406.93</v>
      </c>
      <c r="P25" s="50">
        <v>13941.7</v>
      </c>
      <c r="Q25" s="50">
        <v>8362.4629999999997</v>
      </c>
      <c r="R25" s="50"/>
      <c r="S25" s="50">
        <v>1110.7222192286283</v>
      </c>
      <c r="T25" s="50">
        <v>572.22799999999984</v>
      </c>
      <c r="U25" s="50">
        <v>1139.2360000000001</v>
      </c>
      <c r="V25" s="50">
        <v>507.17099999999994</v>
      </c>
      <c r="W25" s="50">
        <v>0</v>
      </c>
      <c r="X25" s="50">
        <v>280.59339999999997</v>
      </c>
      <c r="Y25" s="50"/>
      <c r="Z25" s="50">
        <v>9131.3632944020064</v>
      </c>
      <c r="AA25" s="50">
        <v>4796.3055774199256</v>
      </c>
      <c r="AB25" s="50">
        <v>13518.31</v>
      </c>
      <c r="AC25" s="50">
        <v>9476.09</v>
      </c>
    </row>
    <row r="26" spans="2:29" ht="15.5" x14ac:dyDescent="0.35">
      <c r="B26" s="48" t="s">
        <v>48</v>
      </c>
      <c r="C26" s="49"/>
      <c r="D26" s="50">
        <v>1064.2070000000001</v>
      </c>
      <c r="E26" s="50">
        <v>1417.7644438495681</v>
      </c>
      <c r="F26" s="50">
        <v>0</v>
      </c>
      <c r="G26" s="50">
        <v>1278.1197200583013</v>
      </c>
      <c r="H26" s="50">
        <v>394.58274077476557</v>
      </c>
      <c r="I26" s="50"/>
      <c r="J26" s="50">
        <v>14813.86</v>
      </c>
      <c r="K26" s="50">
        <v>8287.0880000000016</v>
      </c>
      <c r="L26" s="50">
        <v>6197.6583444164708</v>
      </c>
      <c r="M26" s="50">
        <v>6336.6109999999999</v>
      </c>
      <c r="N26" s="50">
        <v>12065.213390369614</v>
      </c>
      <c r="O26" s="50">
        <v>16665.686640808279</v>
      </c>
      <c r="P26" s="50">
        <v>9892.4628958320955</v>
      </c>
      <c r="Q26" s="50">
        <v>10470.07</v>
      </c>
      <c r="R26" s="50"/>
      <c r="S26" s="50">
        <v>865.19753142252512</v>
      </c>
      <c r="T26" s="50">
        <v>635.92769999999996</v>
      </c>
      <c r="U26" s="50">
        <v>935.2317766470569</v>
      </c>
      <c r="V26" s="50">
        <v>613.84029999999996</v>
      </c>
      <c r="W26" s="50">
        <v>272.12009999999998</v>
      </c>
      <c r="X26" s="50">
        <v>581.39940000000013</v>
      </c>
      <c r="Y26" s="50"/>
      <c r="Z26" s="50">
        <v>8456.6690364250917</v>
      </c>
      <c r="AA26" s="50">
        <v>3070.2364804945478</v>
      </c>
      <c r="AB26" s="50">
        <v>10592.989308957149</v>
      </c>
      <c r="AC26" s="50">
        <v>5408.5786731247335</v>
      </c>
    </row>
    <row r="27" spans="2:29" ht="15.5" x14ac:dyDescent="0.35">
      <c r="B27" s="48" t="s">
        <v>49</v>
      </c>
      <c r="C27" s="49"/>
      <c r="D27" s="50">
        <v>822.39567637113919</v>
      </c>
      <c r="E27" s="50">
        <v>1072.592660536596</v>
      </c>
      <c r="F27" s="50">
        <v>4049.896591555445</v>
      </c>
      <c r="G27" s="50">
        <v>0</v>
      </c>
      <c r="H27" s="50">
        <v>355.98910000000001</v>
      </c>
      <c r="I27" s="50"/>
      <c r="J27" s="50">
        <v>16795.119999999995</v>
      </c>
      <c r="K27" s="50">
        <v>7063.772897666995</v>
      </c>
      <c r="L27" s="50">
        <v>3868.8701512264242</v>
      </c>
      <c r="M27" s="50">
        <v>5233.6210000000001</v>
      </c>
      <c r="N27" s="50">
        <v>14895.113870892437</v>
      </c>
      <c r="O27" s="50">
        <v>18877.765390689536</v>
      </c>
      <c r="P27" s="50">
        <v>10500.646030498472</v>
      </c>
      <c r="Q27" s="50">
        <v>8521.0038696586471</v>
      </c>
      <c r="R27" s="50"/>
      <c r="S27" s="50">
        <v>543.71733344250561</v>
      </c>
      <c r="T27" s="50">
        <v>542.15123770592015</v>
      </c>
      <c r="U27" s="50">
        <v>608.0059</v>
      </c>
      <c r="V27" s="50">
        <v>501.52486281707621</v>
      </c>
      <c r="W27" s="50">
        <v>371.30220000000003</v>
      </c>
      <c r="X27" s="50">
        <v>619.67850003716944</v>
      </c>
      <c r="Y27" s="50"/>
      <c r="Z27" s="50">
        <v>7952.0050702420385</v>
      </c>
      <c r="AA27" s="50">
        <v>5533.9544184016449</v>
      </c>
      <c r="AB27" s="50">
        <v>20907.166536335524</v>
      </c>
      <c r="AC27" s="50">
        <v>1934.6302042242739</v>
      </c>
    </row>
    <row r="28" spans="2:29" ht="15.5" x14ac:dyDescent="0.35">
      <c r="B28" s="48" t="s">
        <v>50</v>
      </c>
      <c r="C28" s="49"/>
      <c r="D28" s="50">
        <v>1529.9917519850412</v>
      </c>
      <c r="E28" s="50">
        <v>1316.0732367269911</v>
      </c>
      <c r="F28" s="50">
        <v>4287.6909705139014</v>
      </c>
      <c r="G28" s="50">
        <v>329.70929999999998</v>
      </c>
      <c r="H28" s="50">
        <v>355.14510000000007</v>
      </c>
      <c r="I28" s="50"/>
      <c r="J28" s="50">
        <v>17569.740718154146</v>
      </c>
      <c r="K28" s="50">
        <v>5658.6696759756169</v>
      </c>
      <c r="L28" s="50">
        <v>4597.3784182750687</v>
      </c>
      <c r="M28" s="50">
        <v>7183.8349999999991</v>
      </c>
      <c r="N28" s="50">
        <v>14810.472775188648</v>
      </c>
      <c r="O28" s="50">
        <v>19220.966970526297</v>
      </c>
      <c r="P28" s="50">
        <v>8717.3230181352737</v>
      </c>
      <c r="Q28" s="50">
        <v>10629.215224194009</v>
      </c>
      <c r="R28" s="50"/>
      <c r="S28" s="50">
        <v>745.6509996309793</v>
      </c>
      <c r="T28" s="50">
        <v>739.72658446334162</v>
      </c>
      <c r="U28" s="50">
        <v>853.64339999999993</v>
      </c>
      <c r="V28" s="50">
        <v>769.13310000000001</v>
      </c>
      <c r="W28" s="50">
        <v>475.5727</v>
      </c>
      <c r="X28" s="50">
        <v>519.59712719752611</v>
      </c>
      <c r="Y28" s="50"/>
      <c r="Z28" s="50">
        <v>10571.044142963296</v>
      </c>
      <c r="AA28" s="50">
        <v>1780.896845337079</v>
      </c>
      <c r="AB28" s="50">
        <v>14695.127694801671</v>
      </c>
      <c r="AC28" s="50">
        <v>1733.7204983856843</v>
      </c>
    </row>
    <row r="29" spans="2:29" ht="15.5" x14ac:dyDescent="0.35">
      <c r="B29" s="48" t="s">
        <v>51</v>
      </c>
      <c r="C29" s="49"/>
      <c r="D29" s="50">
        <v>1214.2569991603057</v>
      </c>
      <c r="E29" s="50">
        <v>1387.5321353814388</v>
      </c>
      <c r="F29" s="50">
        <v>3888.7583490269371</v>
      </c>
      <c r="G29" s="50">
        <v>568.27430000000015</v>
      </c>
      <c r="H29" s="50">
        <v>613.63919416853275</v>
      </c>
      <c r="I29" s="50"/>
      <c r="J29" s="50">
        <v>16843.84</v>
      </c>
      <c r="K29" s="50">
        <v>9183.4951492689324</v>
      </c>
      <c r="L29" s="50">
        <v>4831.0325993932183</v>
      </c>
      <c r="M29" s="50">
        <v>6526.826</v>
      </c>
      <c r="N29" s="50">
        <v>14295.027589826161</v>
      </c>
      <c r="O29" s="50">
        <v>17060.021648167622</v>
      </c>
      <c r="P29" s="50">
        <v>11720.607785756056</v>
      </c>
      <c r="Q29" s="50">
        <v>11051.06902133471</v>
      </c>
      <c r="R29" s="50"/>
      <c r="S29" s="50">
        <v>648.84249336527421</v>
      </c>
      <c r="T29" s="50">
        <v>619.76869275884678</v>
      </c>
      <c r="U29" s="50">
        <v>836.61150000000009</v>
      </c>
      <c r="V29" s="50">
        <v>625.50599999999997</v>
      </c>
      <c r="W29" s="50">
        <v>352.54610000000002</v>
      </c>
      <c r="X29" s="50">
        <v>486.35672549395258</v>
      </c>
      <c r="Y29" s="50"/>
      <c r="Z29" s="50">
        <v>8109.2971760956498</v>
      </c>
      <c r="AA29" s="50">
        <v>4773.817</v>
      </c>
      <c r="AB29" s="50">
        <v>12167.623950245015</v>
      </c>
      <c r="AC29" s="50">
        <v>1752.3067420974635</v>
      </c>
    </row>
    <row r="30" spans="2:29" ht="15.5" x14ac:dyDescent="0.35">
      <c r="B30" s="48" t="s">
        <v>52</v>
      </c>
      <c r="C30" s="49"/>
      <c r="D30" s="50">
        <v>1102.7997974388588</v>
      </c>
      <c r="E30" s="50">
        <v>1408.8639749297697</v>
      </c>
      <c r="F30" s="50">
        <v>2990.7255696569437</v>
      </c>
      <c r="G30" s="50">
        <v>0</v>
      </c>
      <c r="H30" s="50">
        <v>723.1408525969116</v>
      </c>
      <c r="I30" s="50"/>
      <c r="J30" s="50">
        <v>16046.140596609341</v>
      </c>
      <c r="K30" s="50">
        <v>6803.0342854752089</v>
      </c>
      <c r="L30" s="50">
        <v>4166.2284310451168</v>
      </c>
      <c r="M30" s="50">
        <v>5304.7623253536431</v>
      </c>
      <c r="N30" s="50">
        <v>15979.463497947996</v>
      </c>
      <c r="O30" s="50">
        <v>18802.399701217306</v>
      </c>
      <c r="P30" s="50">
        <v>11870.633382522077</v>
      </c>
      <c r="Q30" s="50">
        <v>8898.4449999999997</v>
      </c>
      <c r="R30" s="50"/>
      <c r="S30" s="50">
        <v>574.12574115276482</v>
      </c>
      <c r="T30" s="50">
        <v>569.64512330223215</v>
      </c>
      <c r="U30" s="50">
        <v>914.85080000000005</v>
      </c>
      <c r="V30" s="50">
        <v>496.55640000000005</v>
      </c>
      <c r="W30" s="50">
        <v>349.61899776553423</v>
      </c>
      <c r="X30" s="50">
        <v>407.09399999999999</v>
      </c>
      <c r="Y30" s="50"/>
      <c r="Z30" s="50">
        <v>6734.445635330002</v>
      </c>
      <c r="AA30" s="50">
        <v>2733.7019176825434</v>
      </c>
      <c r="AB30" s="50">
        <v>4083.030982231608</v>
      </c>
      <c r="AC30" s="50">
        <v>4382.763800589184</v>
      </c>
    </row>
    <row r="31" spans="2:29" ht="15.5" x14ac:dyDescent="0.35">
      <c r="B31" s="48" t="s">
        <v>53</v>
      </c>
      <c r="C31" s="49"/>
      <c r="D31" s="50">
        <v>2329.4810074718716</v>
      </c>
      <c r="E31" s="50">
        <v>1049.8820000000001</v>
      </c>
      <c r="F31" s="50">
        <v>5144.7768467182059</v>
      </c>
      <c r="G31" s="50">
        <v>0</v>
      </c>
      <c r="H31" s="50">
        <v>555.95120375249337</v>
      </c>
      <c r="I31" s="50"/>
      <c r="J31" s="50">
        <v>14800.68</v>
      </c>
      <c r="K31" s="50">
        <v>6677.2550000000001</v>
      </c>
      <c r="L31" s="50">
        <v>3989.6629999999996</v>
      </c>
      <c r="M31" s="50">
        <v>4198.9589999999998</v>
      </c>
      <c r="N31" s="50">
        <v>15261.882394041178</v>
      </c>
      <c r="O31" s="50">
        <v>19450.849999999999</v>
      </c>
      <c r="P31" s="50">
        <v>10272</v>
      </c>
      <c r="Q31" s="50">
        <v>9772.0610000000015</v>
      </c>
      <c r="R31" s="50"/>
      <c r="S31" s="50">
        <v>655.25930177385351</v>
      </c>
      <c r="T31" s="50">
        <v>630.59109261768549</v>
      </c>
      <c r="U31" s="50">
        <v>706.7319</v>
      </c>
      <c r="V31" s="50">
        <v>742.98243477506014</v>
      </c>
      <c r="W31" s="50">
        <v>359.4973</v>
      </c>
      <c r="X31" s="50">
        <v>987.54736594507153</v>
      </c>
      <c r="Y31" s="50"/>
      <c r="Z31" s="50">
        <v>4805.693356910474</v>
      </c>
      <c r="AA31" s="50">
        <v>2191.7916780333026</v>
      </c>
      <c r="AB31" s="50">
        <v>3422.61888</v>
      </c>
      <c r="AC31" s="50">
        <v>1458.8788788752954</v>
      </c>
    </row>
    <row r="32" spans="2:29" ht="15.5" x14ac:dyDescent="0.35">
      <c r="B32" s="48" t="s">
        <v>54</v>
      </c>
      <c r="C32" s="49"/>
      <c r="D32" s="50">
        <v>805.82931261511987</v>
      </c>
      <c r="E32" s="50">
        <v>1152.5889964066685</v>
      </c>
      <c r="F32" s="50">
        <v>3588.3587133314732</v>
      </c>
      <c r="G32" s="50">
        <v>0</v>
      </c>
      <c r="H32" s="50">
        <v>547.5831555759213</v>
      </c>
      <c r="I32" s="50"/>
      <c r="J32" s="50">
        <v>15236.410000000002</v>
      </c>
      <c r="K32" s="50">
        <v>6957.3100879383674</v>
      </c>
      <c r="L32" s="50">
        <v>4751.1430000000009</v>
      </c>
      <c r="M32" s="50">
        <v>3693.1044052580264</v>
      </c>
      <c r="N32" s="50">
        <v>14327.423222305248</v>
      </c>
      <c r="O32" s="50">
        <v>17391.482127876552</v>
      </c>
      <c r="P32" s="50">
        <v>8535.9269550137633</v>
      </c>
      <c r="Q32" s="50">
        <v>10871.287204180573</v>
      </c>
      <c r="R32" s="50"/>
      <c r="S32" s="50">
        <v>732.68682465862969</v>
      </c>
      <c r="T32" s="50">
        <v>716.63547419008273</v>
      </c>
      <c r="U32" s="50">
        <v>835.67190000000005</v>
      </c>
      <c r="V32" s="50">
        <v>403.80430000000001</v>
      </c>
      <c r="W32" s="50">
        <v>448.81794641341196</v>
      </c>
      <c r="X32" s="50">
        <v>402.65026402446784</v>
      </c>
      <c r="Y32" s="50"/>
      <c r="Z32" s="50">
        <v>6806.7212471339817</v>
      </c>
      <c r="AA32" s="50">
        <v>5838.9898091522828</v>
      </c>
      <c r="AB32" s="50">
        <v>20903.730451730626</v>
      </c>
      <c r="AC32" s="50">
        <v>1668.3558392190146</v>
      </c>
    </row>
    <row r="33" spans="2:29" ht="16" thickBot="1" x14ac:dyDescent="0.4">
      <c r="B33" s="51" t="s">
        <v>55</v>
      </c>
      <c r="C33" s="49"/>
      <c r="D33" s="50">
        <v>1007.4197717110122</v>
      </c>
      <c r="E33" s="50">
        <v>998.94584761062094</v>
      </c>
      <c r="F33" s="50">
        <v>5112.7313337090645</v>
      </c>
      <c r="G33" s="50">
        <v>0</v>
      </c>
      <c r="H33" s="50">
        <v>764.18629999999996</v>
      </c>
      <c r="I33" s="50"/>
      <c r="J33" s="50">
        <v>14894.97</v>
      </c>
      <c r="K33" s="50">
        <v>5526.9366739313809</v>
      </c>
      <c r="L33" s="50">
        <v>2796.9252888400179</v>
      </c>
      <c r="M33" s="50">
        <v>4510.3837874946803</v>
      </c>
      <c r="N33" s="50">
        <v>12219.580615372903</v>
      </c>
      <c r="O33" s="50">
        <v>15253.6250844435</v>
      </c>
      <c r="P33" s="50">
        <v>12547.545445775122</v>
      </c>
      <c r="Q33" s="50">
        <v>10258.798358968115</v>
      </c>
      <c r="R33" s="50"/>
      <c r="S33" s="50">
        <v>595.91781860503897</v>
      </c>
      <c r="T33" s="50">
        <v>595.55781868543704</v>
      </c>
      <c r="U33" s="50">
        <v>644.91090061769091</v>
      </c>
      <c r="V33" s="50">
        <v>510.70597539142437</v>
      </c>
      <c r="W33" s="50">
        <v>480.54838621847733</v>
      </c>
      <c r="X33" s="50">
        <v>319.73284495424468</v>
      </c>
      <c r="Y33" s="50"/>
      <c r="Z33" s="50">
        <v>11969.593630917956</v>
      </c>
      <c r="AA33" s="50">
        <v>3257.268960265948</v>
      </c>
      <c r="AB33" s="50">
        <v>13204.067446289693</v>
      </c>
      <c r="AC33" s="50">
        <v>903.57724986663698</v>
      </c>
    </row>
    <row r="34" spans="2:29" ht="16" thickTop="1" x14ac:dyDescent="0.35">
      <c r="B34" s="52" t="s">
        <v>71</v>
      </c>
      <c r="C34" s="52"/>
      <c r="D34" s="53">
        <v>1265.993762950008</v>
      </c>
      <c r="E34" s="53">
        <v>1172.2133818045693</v>
      </c>
      <c r="F34" s="53">
        <v>4061.0926463133846</v>
      </c>
      <c r="G34" s="142">
        <v>1254.8283102301702</v>
      </c>
      <c r="H34" s="53">
        <v>648.65022560955254</v>
      </c>
      <c r="I34" s="53"/>
      <c r="J34" s="53">
        <v>14436.913579793518</v>
      </c>
      <c r="K34" s="53">
        <v>8051.3188671361477</v>
      </c>
      <c r="L34" s="53">
        <v>6838.8341434804224</v>
      </c>
      <c r="M34" s="53">
        <v>7446.0348192058309</v>
      </c>
      <c r="N34" s="53">
        <v>12432.955776491468</v>
      </c>
      <c r="O34" s="53">
        <v>17223.753148119395</v>
      </c>
      <c r="P34" s="53">
        <v>11226.354348565026</v>
      </c>
      <c r="Q34" s="53">
        <v>9803.6145658015721</v>
      </c>
      <c r="R34" s="53"/>
      <c r="S34" s="53">
        <v>718.59565326427435</v>
      </c>
      <c r="T34" s="53">
        <v>625.72894821045304</v>
      </c>
      <c r="U34" s="53">
        <v>878.5359731404177</v>
      </c>
      <c r="V34" s="53">
        <v>567.05756499788481</v>
      </c>
      <c r="W34" s="53">
        <v>435.09780968898207</v>
      </c>
      <c r="X34" s="53">
        <v>429.56470370726686</v>
      </c>
      <c r="Y34" s="53"/>
      <c r="Z34" s="53">
        <v>9213.6460806642972</v>
      </c>
      <c r="AA34" s="53">
        <v>5347.3581975467105</v>
      </c>
      <c r="AB34" s="53">
        <v>11684.447680401889</v>
      </c>
      <c r="AC34" s="53">
        <v>3949.188898539946</v>
      </c>
    </row>
    <row r="35" spans="2:29" ht="15.5" x14ac:dyDescent="0.35">
      <c r="B35" s="54" t="s">
        <v>79</v>
      </c>
      <c r="C35" s="54"/>
      <c r="D35" s="55">
        <v>1206.0064816526383</v>
      </c>
      <c r="E35" s="55">
        <v>1171.6498041029697</v>
      </c>
      <c r="F35" s="55">
        <v>1968.9287984188304</v>
      </c>
      <c r="G35" s="55">
        <v>1249.7238768251505</v>
      </c>
      <c r="H35" s="55">
        <v>651.63764740075283</v>
      </c>
      <c r="I35" s="55"/>
      <c r="J35" s="55">
        <v>14435.955039010736</v>
      </c>
      <c r="K35" s="55">
        <v>8051.0798017664874</v>
      </c>
      <c r="L35" s="55">
        <v>6798.3229548323279</v>
      </c>
      <c r="M35" s="55">
        <v>7446.1840871336126</v>
      </c>
      <c r="N35" s="55">
        <v>12430.242209381202</v>
      </c>
      <c r="O35" s="55">
        <v>17220.37045673684</v>
      </c>
      <c r="P35" s="55">
        <v>11223.932257416405</v>
      </c>
      <c r="Q35" s="55">
        <v>9803.402309109224</v>
      </c>
      <c r="R35" s="55"/>
      <c r="S35" s="55">
        <v>716.04716349320779</v>
      </c>
      <c r="T35" s="55">
        <v>621.05832023433027</v>
      </c>
      <c r="U35" s="55">
        <v>878.49809257882271</v>
      </c>
      <c r="V35" s="55">
        <v>566.00231876313239</v>
      </c>
      <c r="W35" s="55">
        <v>435.13040274962304</v>
      </c>
      <c r="X35" s="55">
        <v>401.09494396573325</v>
      </c>
      <c r="Y35" s="55"/>
      <c r="Z35" s="55">
        <v>9226.0555059706148</v>
      </c>
      <c r="AA35" s="55">
        <v>5317.1646814866217</v>
      </c>
      <c r="AB35" s="55">
        <v>11577.503008633475</v>
      </c>
      <c r="AC35" s="55">
        <v>3940.259274672856</v>
      </c>
    </row>
    <row r="36" spans="2:29" ht="16" thickBot="1" x14ac:dyDescent="0.4">
      <c r="B36" s="51" t="s">
        <v>80</v>
      </c>
      <c r="C36" s="51"/>
      <c r="D36" s="56">
        <v>4154.623479025915</v>
      </c>
      <c r="E36" s="56">
        <v>2053.1579834372851</v>
      </c>
      <c r="F36" s="56">
        <v>4089.0344961899636</v>
      </c>
      <c r="G36" s="56">
        <v>1805.8310126972365</v>
      </c>
      <c r="H36" s="56">
        <v>387.48901252475622</v>
      </c>
      <c r="I36" s="56"/>
      <c r="J36" s="56">
        <v>17696.532913395728</v>
      </c>
      <c r="K36" s="56">
        <v>9090.3833539082152</v>
      </c>
      <c r="L36" s="56">
        <v>14160.534232296523</v>
      </c>
      <c r="M36" s="56">
        <v>5706.9459004627115</v>
      </c>
      <c r="N36" s="56">
        <v>19144.899258510664</v>
      </c>
      <c r="O36" s="56">
        <v>21085.626465950201</v>
      </c>
      <c r="P36" s="56">
        <v>17020.889243087378</v>
      </c>
      <c r="Q36" s="56">
        <v>11753.749154082716</v>
      </c>
      <c r="R36" s="56"/>
      <c r="S36" s="56">
        <v>1264.601575379819</v>
      </c>
      <c r="T36" s="56">
        <v>1268.4425558322837</v>
      </c>
      <c r="U36" s="56">
        <v>1049.347749555915</v>
      </c>
      <c r="V36" s="56">
        <v>711.30822076303934</v>
      </c>
      <c r="W36" s="56">
        <v>100.37606411607628</v>
      </c>
      <c r="X36" s="56">
        <v>1614.7278033964776</v>
      </c>
      <c r="Y36" s="56"/>
      <c r="Z36" s="56">
        <v>7219.819396654053</v>
      </c>
      <c r="AA36" s="56">
        <v>5996.7284877643724</v>
      </c>
      <c r="AB36" s="56">
        <v>15491.518408026246</v>
      </c>
      <c r="AC36" s="56">
        <v>4317.5065529601407</v>
      </c>
    </row>
    <row r="37" spans="2:29" ht="16" thickTop="1" x14ac:dyDescent="0.35">
      <c r="B37" s="9" t="s">
        <v>172</v>
      </c>
    </row>
  </sheetData>
  <pageMargins left="0.7" right="0.7" top="0.75" bottom="0.75" header="0.3" footer="0.3"/>
  <pageSetup orientation="portrait" r:id="rId1"/>
  <headerFooter>
    <oddFooter>&amp;LYield of Cassava, Banana and Sweet potatoes for LSF are low because they are not main crops cultivated by Visited Large Scale Farmers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K36"/>
  <sheetViews>
    <sheetView workbookViewId="0">
      <selection activeCell="B1" sqref="B1"/>
    </sheetView>
  </sheetViews>
  <sheetFormatPr defaultRowHeight="14.5" x14ac:dyDescent="0.35"/>
  <cols>
    <col min="2" max="2" width="10.453125" customWidth="1"/>
    <col min="3" max="3" width="12.7265625" bestFit="1" customWidth="1"/>
    <col min="4" max="4" width="11.453125" bestFit="1" customWidth="1"/>
    <col min="5" max="5" width="9.26953125" bestFit="1" customWidth="1"/>
    <col min="6" max="6" width="9.453125" bestFit="1" customWidth="1"/>
    <col min="7" max="7" width="12.1796875" bestFit="1" customWidth="1"/>
    <col min="8" max="8" width="6.54296875" bestFit="1" customWidth="1"/>
    <col min="9" max="9" width="8.26953125" bestFit="1" customWidth="1"/>
    <col min="10" max="10" width="9.26953125" bestFit="1" customWidth="1"/>
    <col min="11" max="11" width="9.81640625" bestFit="1" customWidth="1"/>
  </cols>
  <sheetData>
    <row r="2" spans="2:11" ht="15" thickBot="1" x14ac:dyDescent="0.4">
      <c r="C2" s="15"/>
      <c r="D2" s="15"/>
      <c r="E2" s="15"/>
      <c r="F2" s="15"/>
      <c r="G2" s="15"/>
      <c r="H2" s="15"/>
      <c r="I2" s="15"/>
      <c r="J2" s="95"/>
      <c r="K2" s="15"/>
    </row>
    <row r="3" spans="2:11" ht="16.5" thickTop="1" thickBot="1" x14ac:dyDescent="0.4">
      <c r="B3" s="5" t="s">
        <v>185</v>
      </c>
    </row>
    <row r="4" spans="2:11" ht="16.5" thickTop="1" thickBot="1" x14ac:dyDescent="0.4">
      <c r="B4" s="88" t="s">
        <v>81</v>
      </c>
      <c r="C4" s="89" t="s">
        <v>85</v>
      </c>
      <c r="D4" s="89" t="s">
        <v>86</v>
      </c>
      <c r="E4" s="18" t="s">
        <v>89</v>
      </c>
      <c r="F4" s="89" t="s">
        <v>74</v>
      </c>
      <c r="G4" s="89" t="s">
        <v>75</v>
      </c>
      <c r="H4" s="89" t="s">
        <v>87</v>
      </c>
      <c r="I4" s="89" t="s">
        <v>70</v>
      </c>
      <c r="J4" s="89" t="s">
        <v>69</v>
      </c>
      <c r="K4" s="89" t="s">
        <v>76</v>
      </c>
    </row>
    <row r="5" spans="2:11" ht="16" thickTop="1" x14ac:dyDescent="0.35">
      <c r="B5" s="6" t="s">
        <v>26</v>
      </c>
      <c r="C5" s="50">
        <v>8314.1884665682064</v>
      </c>
      <c r="D5" s="50">
        <v>6856.70849609375</v>
      </c>
      <c r="E5" s="50">
        <v>747.66917719912067</v>
      </c>
      <c r="F5" s="50">
        <v>747.66917719912067</v>
      </c>
      <c r="G5" s="50">
        <v>0</v>
      </c>
      <c r="H5" s="50">
        <v>0</v>
      </c>
      <c r="I5" s="50">
        <v>827.06536838415593</v>
      </c>
      <c r="J5" s="50">
        <v>0</v>
      </c>
      <c r="K5" s="50">
        <v>16389.817596136942</v>
      </c>
    </row>
    <row r="6" spans="2:11" ht="15.5" x14ac:dyDescent="0.35">
      <c r="B6" s="6" t="s">
        <v>27</v>
      </c>
      <c r="C6" s="50">
        <v>9396.7529603945331</v>
      </c>
      <c r="D6" s="50"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13920.706557515743</v>
      </c>
    </row>
    <row r="7" spans="2:11" ht="15.5" x14ac:dyDescent="0.35">
      <c r="B7" s="6" t="s">
        <v>28</v>
      </c>
      <c r="C7" s="50">
        <v>7599.2296159777379</v>
      </c>
      <c r="D7" s="50">
        <v>0</v>
      </c>
      <c r="E7" s="50">
        <v>1035.8411469236928</v>
      </c>
      <c r="F7" s="50">
        <v>1035.8411469236928</v>
      </c>
      <c r="G7" s="50">
        <v>0</v>
      </c>
      <c r="H7" s="50">
        <v>948.49957275390625</v>
      </c>
      <c r="I7" s="50">
        <v>1126.880126953125</v>
      </c>
      <c r="J7" s="50">
        <v>538.90470924243675</v>
      </c>
      <c r="K7" s="50">
        <v>10892.698549945015</v>
      </c>
    </row>
    <row r="8" spans="2:11" ht="15.5" x14ac:dyDescent="0.35">
      <c r="B8" s="6" t="s">
        <v>29</v>
      </c>
      <c r="C8" s="50">
        <v>9689.0458686711845</v>
      </c>
      <c r="D8" s="50">
        <v>9794.880859375</v>
      </c>
      <c r="E8" s="50">
        <v>1036.5334546395909</v>
      </c>
      <c r="F8" s="50">
        <v>1062.2247533572306</v>
      </c>
      <c r="G8" s="50">
        <v>741.27825927734375</v>
      </c>
      <c r="H8" s="50">
        <v>1075.4121170071644</v>
      </c>
      <c r="I8" s="50">
        <v>845.82082980427333</v>
      </c>
      <c r="J8" s="50">
        <v>285.62952259159164</v>
      </c>
      <c r="K8" s="50">
        <v>13410.93669358994</v>
      </c>
    </row>
    <row r="9" spans="2:11" ht="15.5" x14ac:dyDescent="0.35">
      <c r="B9" s="6" t="s">
        <v>30</v>
      </c>
      <c r="C9" s="50">
        <v>9482.0051015529425</v>
      </c>
      <c r="D9" s="50">
        <v>3843.8798435813505</v>
      </c>
      <c r="E9" s="50">
        <v>1017.9983225233397</v>
      </c>
      <c r="F9" s="50">
        <v>1017.9983225233397</v>
      </c>
      <c r="G9" s="50">
        <v>0</v>
      </c>
      <c r="H9" s="50">
        <v>732.64447021484364</v>
      </c>
      <c r="I9" s="50">
        <v>490.82091962710757</v>
      </c>
      <c r="J9" s="50">
        <v>423.40123702770825</v>
      </c>
      <c r="K9" s="50">
        <v>11755.709421641925</v>
      </c>
    </row>
    <row r="10" spans="2:11" ht="15.5" x14ac:dyDescent="0.35">
      <c r="B10" s="6" t="s">
        <v>31</v>
      </c>
      <c r="C10" s="50">
        <v>8824.7035737896913</v>
      </c>
      <c r="D10" s="50">
        <v>8365.3090819886329</v>
      </c>
      <c r="E10" s="50">
        <v>1078.5597962869256</v>
      </c>
      <c r="F10" s="50">
        <v>1078.5597962869256</v>
      </c>
      <c r="G10" s="50">
        <v>0</v>
      </c>
      <c r="H10" s="50">
        <v>802.38323974609375</v>
      </c>
      <c r="I10" s="50">
        <v>0</v>
      </c>
      <c r="J10" s="50">
        <v>0</v>
      </c>
      <c r="K10" s="50">
        <v>8570.2847561578656</v>
      </c>
    </row>
    <row r="11" spans="2:11" ht="15.5" x14ac:dyDescent="0.35">
      <c r="B11" s="6" t="s">
        <v>32</v>
      </c>
      <c r="C11" s="50">
        <v>9955.8682712027985</v>
      </c>
      <c r="D11" s="50">
        <v>2203.5240660888362</v>
      </c>
      <c r="E11" s="50">
        <v>1212.3084502420104</v>
      </c>
      <c r="F11" s="50">
        <v>1212.3084502420104</v>
      </c>
      <c r="G11" s="50">
        <v>0</v>
      </c>
      <c r="H11" s="50">
        <v>920.19241286496606</v>
      </c>
      <c r="I11" s="50">
        <v>0</v>
      </c>
      <c r="J11" s="50">
        <v>0</v>
      </c>
      <c r="K11" s="50">
        <v>12942.296396226555</v>
      </c>
    </row>
    <row r="12" spans="2:11" ht="15.5" x14ac:dyDescent="0.35">
      <c r="B12" s="6" t="s">
        <v>33</v>
      </c>
      <c r="C12" s="50">
        <v>9377.552967978967</v>
      </c>
      <c r="D12" s="50">
        <v>10205.159536830561</v>
      </c>
      <c r="E12" s="50">
        <v>983.29864501953125</v>
      </c>
      <c r="F12" s="50">
        <v>983.29864501953125</v>
      </c>
      <c r="G12" s="50">
        <v>0</v>
      </c>
      <c r="H12" s="50">
        <v>914.49983934386535</v>
      </c>
      <c r="I12" s="50">
        <v>800.68478264491648</v>
      </c>
      <c r="J12" s="50">
        <v>0</v>
      </c>
      <c r="K12" s="50">
        <v>8465.0714070647573</v>
      </c>
    </row>
    <row r="13" spans="2:11" ht="15.5" x14ac:dyDescent="0.35">
      <c r="B13" s="6" t="s">
        <v>34</v>
      </c>
      <c r="C13" s="50">
        <v>7275.490998529157</v>
      </c>
      <c r="D13" s="50">
        <v>5551.74560546875</v>
      </c>
      <c r="E13" s="50">
        <v>1054.0228503609478</v>
      </c>
      <c r="F13" s="50">
        <v>1076.6110749898592</v>
      </c>
      <c r="G13" s="50">
        <v>984.37582510066818</v>
      </c>
      <c r="H13" s="50">
        <v>758.79413706807293</v>
      </c>
      <c r="I13" s="50">
        <v>0</v>
      </c>
      <c r="J13" s="50">
        <v>0</v>
      </c>
      <c r="K13" s="50">
        <v>9589.5199392137438</v>
      </c>
    </row>
    <row r="14" spans="2:11" ht="15.5" x14ac:dyDescent="0.35">
      <c r="B14" s="6" t="s">
        <v>35</v>
      </c>
      <c r="C14" s="50">
        <v>8136.084846591224</v>
      </c>
      <c r="D14" s="50">
        <v>5392.1598226287206</v>
      </c>
      <c r="E14" s="50">
        <v>1345.6272608102449</v>
      </c>
      <c r="F14" s="50">
        <v>1345.6272608102449</v>
      </c>
      <c r="G14" s="50">
        <v>0</v>
      </c>
      <c r="H14" s="50">
        <v>976.24585407041172</v>
      </c>
      <c r="I14" s="50">
        <v>760.48414767899715</v>
      </c>
      <c r="J14" s="50">
        <v>0</v>
      </c>
      <c r="K14" s="50">
        <v>8159.4306810893349</v>
      </c>
    </row>
    <row r="15" spans="2:11" ht="15.5" x14ac:dyDescent="0.35">
      <c r="B15" s="6" t="s">
        <v>36</v>
      </c>
      <c r="C15" s="50">
        <v>9920.23453513606</v>
      </c>
      <c r="D15" s="50">
        <v>0</v>
      </c>
      <c r="E15" s="50">
        <v>1064.7673575794704</v>
      </c>
      <c r="F15" s="50">
        <v>1064.7673575794704</v>
      </c>
      <c r="G15" s="50">
        <v>0</v>
      </c>
      <c r="H15" s="50">
        <v>800.74617894454707</v>
      </c>
      <c r="I15" s="50">
        <v>879.81169604011041</v>
      </c>
      <c r="J15" s="50">
        <v>0</v>
      </c>
      <c r="K15" s="50">
        <v>14495.817692408409</v>
      </c>
    </row>
    <row r="16" spans="2:11" ht="15.5" x14ac:dyDescent="0.35">
      <c r="B16" s="6" t="s">
        <v>37</v>
      </c>
      <c r="C16" s="50">
        <v>9588.1112362357526</v>
      </c>
      <c r="D16" s="50">
        <v>8137.4027321491358</v>
      </c>
      <c r="E16" s="50">
        <v>0</v>
      </c>
      <c r="F16" s="50">
        <v>0</v>
      </c>
      <c r="G16" s="50">
        <v>0</v>
      </c>
      <c r="H16" s="50">
        <v>980.08729769036154</v>
      </c>
      <c r="I16" s="50">
        <v>0</v>
      </c>
      <c r="J16" s="50">
        <v>0</v>
      </c>
      <c r="K16" s="50">
        <v>8880.3846406969042</v>
      </c>
    </row>
    <row r="17" spans="2:11" ht="15.5" x14ac:dyDescent="0.35">
      <c r="B17" s="6" t="s">
        <v>38</v>
      </c>
      <c r="C17" s="50">
        <v>11009.957871461229</v>
      </c>
      <c r="D17" s="50">
        <v>8922.3457953544821</v>
      </c>
      <c r="E17" s="50">
        <v>0</v>
      </c>
      <c r="F17" s="50">
        <v>0</v>
      </c>
      <c r="G17" s="50">
        <v>0</v>
      </c>
      <c r="H17" s="50">
        <v>538.7872258075115</v>
      </c>
      <c r="I17" s="50">
        <v>0</v>
      </c>
      <c r="J17" s="50">
        <v>0</v>
      </c>
      <c r="K17" s="50">
        <v>8444.7611804070766</v>
      </c>
    </row>
    <row r="18" spans="2:11" ht="15.5" x14ac:dyDescent="0.35">
      <c r="B18" s="6" t="s">
        <v>39</v>
      </c>
      <c r="C18" s="50">
        <v>10247.730990227898</v>
      </c>
      <c r="D18" s="50">
        <v>11120.414572211974</v>
      </c>
      <c r="E18" s="50">
        <v>665.20751953125</v>
      </c>
      <c r="F18" s="50">
        <v>665.20751953125</v>
      </c>
      <c r="G18" s="50">
        <v>0</v>
      </c>
      <c r="H18" s="50">
        <v>772.35660871292043</v>
      </c>
      <c r="I18" s="50">
        <v>0</v>
      </c>
      <c r="J18" s="50">
        <v>0</v>
      </c>
      <c r="K18" s="50">
        <v>13403.514007414604</v>
      </c>
    </row>
    <row r="19" spans="2:11" ht="15.5" x14ac:dyDescent="0.35">
      <c r="B19" s="6" t="s">
        <v>40</v>
      </c>
      <c r="C19" s="50">
        <v>10444.20703125</v>
      </c>
      <c r="D19" s="50">
        <v>9301.2076960303093</v>
      </c>
      <c r="E19" s="50">
        <v>499.97436710364497</v>
      </c>
      <c r="F19" s="50">
        <v>0</v>
      </c>
      <c r="G19" s="50">
        <v>499.97436710364497</v>
      </c>
      <c r="H19" s="50">
        <v>0</v>
      </c>
      <c r="I19" s="50">
        <v>0</v>
      </c>
      <c r="J19" s="50">
        <v>0</v>
      </c>
      <c r="K19" s="50">
        <v>9057.4814425815239</v>
      </c>
    </row>
    <row r="20" spans="2:11" ht="15.5" x14ac:dyDescent="0.35">
      <c r="B20" s="6" t="s">
        <v>41</v>
      </c>
      <c r="C20" s="50">
        <v>7905.9782105060631</v>
      </c>
      <c r="D20" s="50">
        <v>7967.4778860497618</v>
      </c>
      <c r="E20" s="50">
        <v>1106.5989990234375</v>
      </c>
      <c r="F20" s="50">
        <v>1106.5989990234375</v>
      </c>
      <c r="G20" s="50">
        <v>0</v>
      </c>
      <c r="H20" s="50">
        <v>0</v>
      </c>
      <c r="I20" s="50">
        <v>686.75490782484349</v>
      </c>
      <c r="J20" s="50">
        <v>0</v>
      </c>
      <c r="K20" s="50">
        <v>6300.6200745750448</v>
      </c>
    </row>
    <row r="21" spans="2:11" ht="15.5" x14ac:dyDescent="0.35">
      <c r="B21" s="6" t="s">
        <v>42</v>
      </c>
      <c r="C21" s="50">
        <v>8791.8840751074367</v>
      </c>
      <c r="D21" s="50">
        <v>9732.4499193542324</v>
      </c>
      <c r="E21" s="50">
        <v>1143.8053266447891</v>
      </c>
      <c r="F21" s="50">
        <v>1143.8053266447891</v>
      </c>
      <c r="G21" s="50">
        <v>0</v>
      </c>
      <c r="H21" s="50">
        <v>966.23223876953125</v>
      </c>
      <c r="I21" s="50">
        <v>0</v>
      </c>
      <c r="J21" s="50">
        <v>0</v>
      </c>
      <c r="K21" s="50">
        <v>12663.129004375038</v>
      </c>
    </row>
    <row r="22" spans="2:11" ht="15.5" x14ac:dyDescent="0.35">
      <c r="B22" s="6" t="s">
        <v>43</v>
      </c>
      <c r="C22" s="50">
        <v>9727.5096772617671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6372.4364806557924</v>
      </c>
    </row>
    <row r="23" spans="2:11" ht="15.5" x14ac:dyDescent="0.35">
      <c r="B23" s="6" t="s">
        <v>44</v>
      </c>
      <c r="C23" s="50">
        <v>9078.2018378791181</v>
      </c>
      <c r="D23" s="50">
        <v>7304.2051878296925</v>
      </c>
      <c r="E23" s="50">
        <v>1054.7236004746969</v>
      </c>
      <c r="F23" s="50">
        <v>1054.7236004746969</v>
      </c>
      <c r="G23" s="50">
        <v>0</v>
      </c>
      <c r="H23" s="50">
        <v>0</v>
      </c>
      <c r="I23" s="50">
        <v>711.88192447486881</v>
      </c>
      <c r="J23" s="50">
        <v>0</v>
      </c>
      <c r="K23" s="50">
        <v>9998.2728940583474</v>
      </c>
    </row>
    <row r="24" spans="2:11" ht="15.5" x14ac:dyDescent="0.35">
      <c r="B24" s="6" t="s">
        <v>45</v>
      </c>
      <c r="C24" s="50">
        <v>7542.5867453800474</v>
      </c>
      <c r="D24" s="50">
        <v>5339.6918161051963</v>
      </c>
      <c r="E24" s="50">
        <v>0</v>
      </c>
      <c r="F24" s="50">
        <v>0</v>
      </c>
      <c r="G24" s="50">
        <v>0</v>
      </c>
      <c r="H24" s="50">
        <v>0</v>
      </c>
      <c r="I24" s="50">
        <v>559.35841188674806</v>
      </c>
      <c r="J24" s="50">
        <v>0</v>
      </c>
      <c r="K24" s="50">
        <v>11005.281199331474</v>
      </c>
    </row>
    <row r="25" spans="2:11" ht="15.5" x14ac:dyDescent="0.35">
      <c r="B25" s="6" t="s">
        <v>46</v>
      </c>
      <c r="C25" s="50">
        <v>9117.1595147059379</v>
      </c>
      <c r="D25" s="50">
        <v>9448.9284392411209</v>
      </c>
      <c r="E25" s="50">
        <v>1073.9463661982559</v>
      </c>
      <c r="F25" s="50">
        <v>1092.2897774746893</v>
      </c>
      <c r="G25" s="50">
        <v>1035.8485107421875</v>
      </c>
      <c r="H25" s="50">
        <v>663.19226074218761</v>
      </c>
      <c r="I25" s="50">
        <v>0</v>
      </c>
      <c r="J25" s="50">
        <v>0</v>
      </c>
      <c r="K25" s="50">
        <v>6675.4830973397466</v>
      </c>
    </row>
    <row r="26" spans="2:11" ht="15.5" x14ac:dyDescent="0.35">
      <c r="B26" s="6" t="s">
        <v>47</v>
      </c>
      <c r="C26" s="50">
        <v>9962.2096402971074</v>
      </c>
      <c r="D26" s="50">
        <v>8805.7999229707311</v>
      </c>
      <c r="E26" s="50">
        <v>0</v>
      </c>
      <c r="F26" s="50">
        <v>0</v>
      </c>
      <c r="G26" s="50">
        <v>0</v>
      </c>
      <c r="H26" s="50">
        <v>882.47320556640625</v>
      </c>
      <c r="I26" s="50">
        <v>0</v>
      </c>
      <c r="J26" s="50">
        <v>0</v>
      </c>
      <c r="K26" s="50">
        <v>21118.690671390337</v>
      </c>
    </row>
    <row r="27" spans="2:11" ht="15.5" x14ac:dyDescent="0.35">
      <c r="B27" s="6" t="s">
        <v>48</v>
      </c>
      <c r="C27" s="50">
        <v>8920.9823321880613</v>
      </c>
      <c r="D27" s="50">
        <v>8696.3384256471454</v>
      </c>
      <c r="E27" s="50">
        <v>1101.67231081618</v>
      </c>
      <c r="F27" s="50">
        <v>1101.67231081618</v>
      </c>
      <c r="G27" s="50">
        <v>0</v>
      </c>
      <c r="H27" s="50">
        <v>0</v>
      </c>
      <c r="I27" s="50">
        <v>0</v>
      </c>
      <c r="J27" s="50">
        <v>0</v>
      </c>
      <c r="K27" s="50">
        <v>10100.824784177421</v>
      </c>
    </row>
    <row r="28" spans="2:11" ht="15.5" x14ac:dyDescent="0.35">
      <c r="B28" s="6" t="s">
        <v>49</v>
      </c>
      <c r="C28" s="50">
        <v>11662.229098181149</v>
      </c>
      <c r="D28" s="50">
        <v>12802.485845566367</v>
      </c>
      <c r="E28" s="50">
        <v>1025.0164247995765</v>
      </c>
      <c r="F28" s="50">
        <v>1025.0164247995765</v>
      </c>
      <c r="G28" s="50">
        <v>0</v>
      </c>
      <c r="H28" s="50">
        <v>0</v>
      </c>
      <c r="I28" s="50">
        <v>792.24396683919645</v>
      </c>
      <c r="J28" s="50">
        <v>449.50865274971022</v>
      </c>
      <c r="K28" s="50">
        <v>11718.189266718369</v>
      </c>
    </row>
    <row r="29" spans="2:11" ht="15.5" x14ac:dyDescent="0.35">
      <c r="B29" s="6" t="s">
        <v>50</v>
      </c>
      <c r="C29" s="50">
        <v>7317.131826251828</v>
      </c>
      <c r="D29" s="50">
        <v>8819.3665334254638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14482.283551291484</v>
      </c>
    </row>
    <row r="30" spans="2:11" ht="15.5" x14ac:dyDescent="0.35">
      <c r="B30" s="6" t="s">
        <v>51</v>
      </c>
      <c r="C30" s="50">
        <v>8453.9974844944245</v>
      </c>
      <c r="D30" s="50">
        <v>14441.161979930102</v>
      </c>
      <c r="E30" s="50">
        <v>994.52394070972548</v>
      </c>
      <c r="F30" s="50">
        <v>994.52394070972548</v>
      </c>
      <c r="G30" s="50">
        <v>0</v>
      </c>
      <c r="H30" s="50">
        <v>0</v>
      </c>
      <c r="I30" s="50">
        <v>0</v>
      </c>
      <c r="J30" s="50">
        <v>0</v>
      </c>
      <c r="K30" s="50">
        <v>14185.34533645436</v>
      </c>
    </row>
    <row r="31" spans="2:11" ht="15.5" x14ac:dyDescent="0.35">
      <c r="B31" s="6" t="s">
        <v>52</v>
      </c>
      <c r="C31" s="50">
        <v>11234.125306462665</v>
      </c>
      <c r="D31" s="50">
        <v>7716.3182190203215</v>
      </c>
      <c r="E31" s="50">
        <v>0</v>
      </c>
      <c r="F31" s="50">
        <v>0</v>
      </c>
      <c r="G31" s="50">
        <v>0</v>
      </c>
      <c r="H31" s="50">
        <v>0</v>
      </c>
      <c r="I31" s="50">
        <v>837.603271484375</v>
      </c>
      <c r="J31" s="50">
        <v>0</v>
      </c>
      <c r="K31" s="50">
        <v>12201.442805666533</v>
      </c>
    </row>
    <row r="32" spans="2:11" ht="15.5" x14ac:dyDescent="0.35">
      <c r="B32" s="6" t="s">
        <v>53</v>
      </c>
      <c r="C32" s="50">
        <v>8291.2704927372342</v>
      </c>
      <c r="D32" s="50">
        <v>8654.5044602735179</v>
      </c>
      <c r="E32" s="50">
        <v>999.89490807074992</v>
      </c>
      <c r="F32" s="50">
        <v>999.89490807074992</v>
      </c>
      <c r="G32" s="50">
        <v>0</v>
      </c>
      <c r="H32" s="50">
        <v>0</v>
      </c>
      <c r="I32" s="50">
        <v>0</v>
      </c>
      <c r="J32" s="50">
        <v>0</v>
      </c>
      <c r="K32" s="50">
        <v>11586.310467906993</v>
      </c>
    </row>
    <row r="33" spans="2:11" ht="15.5" x14ac:dyDescent="0.35">
      <c r="B33" s="6" t="s">
        <v>54</v>
      </c>
      <c r="C33" s="50">
        <v>9289.1617035459749</v>
      </c>
      <c r="D33" s="50">
        <v>6394.7697217739415</v>
      </c>
      <c r="E33" s="50">
        <v>1089.0550837914423</v>
      </c>
      <c r="F33" s="50">
        <v>1042.9787025695791</v>
      </c>
      <c r="G33" s="50">
        <v>1720.301513671875</v>
      </c>
      <c r="H33" s="50">
        <v>877.37048339843739</v>
      </c>
      <c r="I33" s="50">
        <v>633.43190040972104</v>
      </c>
      <c r="J33" s="50">
        <v>0</v>
      </c>
      <c r="K33" s="50">
        <v>11416.763488457062</v>
      </c>
    </row>
    <row r="34" spans="2:11" ht="16" thickBot="1" x14ac:dyDescent="0.4">
      <c r="B34" s="7" t="s">
        <v>55</v>
      </c>
      <c r="C34" s="92">
        <v>8105.3623523021934</v>
      </c>
      <c r="D34" s="92">
        <v>5677.6820308277884</v>
      </c>
      <c r="E34" s="92">
        <v>888.42090925201808</v>
      </c>
      <c r="F34" s="92">
        <v>888.42090925201808</v>
      </c>
      <c r="G34" s="92">
        <v>0</v>
      </c>
      <c r="H34" s="92">
        <v>1402.126176436534</v>
      </c>
      <c r="I34" s="92">
        <v>929.07987383102204</v>
      </c>
      <c r="J34" s="92">
        <v>403.28829956054688</v>
      </c>
      <c r="K34" s="92">
        <v>9105.0327793240431</v>
      </c>
    </row>
    <row r="35" spans="2:11" ht="16" thickBot="1" x14ac:dyDescent="0.4">
      <c r="B35" s="8" t="s">
        <v>71</v>
      </c>
      <c r="C35" s="90">
        <v>9096.6373542902493</v>
      </c>
      <c r="D35" s="90">
        <v>9133.7197575032369</v>
      </c>
      <c r="E35" s="90">
        <v>1013.3323981432147</v>
      </c>
      <c r="F35" s="91">
        <v>1013.5239780710981</v>
      </c>
      <c r="G35" s="90">
        <v>1007.8369753724081</v>
      </c>
      <c r="H35" s="90">
        <v>965.45147600846337</v>
      </c>
      <c r="I35" s="90">
        <v>789.55670943741848</v>
      </c>
      <c r="J35" s="90">
        <v>421.80255563431552</v>
      </c>
      <c r="K35" s="90">
        <v>11667.656871773541</v>
      </c>
    </row>
    <row r="36" spans="2:11" ht="15" thickTop="1" x14ac:dyDescent="0.35"/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B2:H37"/>
  <sheetViews>
    <sheetView topLeftCell="A13" workbookViewId="0">
      <selection activeCell="C35" sqref="C35:G35"/>
    </sheetView>
  </sheetViews>
  <sheetFormatPr defaultRowHeight="14.5" x14ac:dyDescent="0.35"/>
  <cols>
    <col min="2" max="2" width="13.7265625" customWidth="1"/>
    <col min="3" max="3" width="7.81640625" bestFit="1" customWidth="1"/>
    <col min="4" max="4" width="8.1796875" customWidth="1"/>
    <col min="5" max="5" width="8.26953125" customWidth="1"/>
    <col min="6" max="6" width="8.54296875" customWidth="1"/>
    <col min="7" max="7" width="7.81640625" customWidth="1"/>
    <col min="8" max="8" width="10.54296875" customWidth="1"/>
  </cols>
  <sheetData>
    <row r="2" spans="2:8" ht="15.5" x14ac:dyDescent="0.35">
      <c r="B2" s="58" t="s">
        <v>213</v>
      </c>
      <c r="C2" s="64"/>
      <c r="D2" s="65"/>
      <c r="E2" s="65"/>
      <c r="F2" s="65"/>
      <c r="G2" s="65"/>
      <c r="H2" s="65"/>
    </row>
    <row r="3" spans="2:8" x14ac:dyDescent="0.35">
      <c r="B3" s="205" t="s">
        <v>25</v>
      </c>
      <c r="C3" s="207" t="s">
        <v>92</v>
      </c>
      <c r="D3" s="207"/>
      <c r="E3" s="207"/>
      <c r="F3" s="207"/>
      <c r="G3" s="207"/>
      <c r="H3" s="208" t="s">
        <v>93</v>
      </c>
    </row>
    <row r="4" spans="2:8" ht="39" customHeight="1" thickBot="1" x14ac:dyDescent="0.4">
      <c r="B4" s="206"/>
      <c r="C4" s="66" t="s">
        <v>94</v>
      </c>
      <c r="D4" s="66" t="s">
        <v>95</v>
      </c>
      <c r="E4" s="66" t="s">
        <v>96</v>
      </c>
      <c r="F4" s="66" t="s">
        <v>97</v>
      </c>
      <c r="G4" s="66" t="s">
        <v>98</v>
      </c>
      <c r="H4" s="209"/>
    </row>
    <row r="5" spans="2:8" ht="15" thickTop="1" x14ac:dyDescent="0.35">
      <c r="B5" s="67" t="s">
        <v>175</v>
      </c>
      <c r="C5" s="62">
        <v>33.33</v>
      </c>
      <c r="D5" s="62">
        <v>0</v>
      </c>
      <c r="E5" s="62">
        <v>0</v>
      </c>
      <c r="F5" s="62">
        <v>0</v>
      </c>
      <c r="G5" s="62">
        <v>0</v>
      </c>
      <c r="H5" s="62">
        <v>66.67</v>
      </c>
    </row>
    <row r="6" spans="2:8" x14ac:dyDescent="0.35">
      <c r="B6" s="67" t="s">
        <v>27</v>
      </c>
      <c r="C6" s="62">
        <v>12.24</v>
      </c>
      <c r="D6" s="62">
        <v>10.199999999999999</v>
      </c>
      <c r="E6" s="62">
        <v>2.04</v>
      </c>
      <c r="F6" s="62">
        <v>4.08</v>
      </c>
      <c r="G6" s="62">
        <v>0</v>
      </c>
      <c r="H6" s="62">
        <v>71.430000000000007</v>
      </c>
    </row>
    <row r="7" spans="2:8" x14ac:dyDescent="0.35">
      <c r="B7" s="67" t="s">
        <v>28</v>
      </c>
      <c r="C7" s="62">
        <v>50</v>
      </c>
      <c r="D7" s="62">
        <v>12.5</v>
      </c>
      <c r="E7" s="62">
        <v>0</v>
      </c>
      <c r="F7" s="62">
        <v>25</v>
      </c>
      <c r="G7" s="62">
        <v>0</v>
      </c>
      <c r="H7" s="62">
        <v>12.5</v>
      </c>
    </row>
    <row r="8" spans="2:8" x14ac:dyDescent="0.35">
      <c r="B8" s="67" t="s">
        <v>29</v>
      </c>
      <c r="C8" s="62">
        <v>9.09</v>
      </c>
      <c r="D8" s="62">
        <v>63.64</v>
      </c>
      <c r="E8" s="62">
        <v>0</v>
      </c>
      <c r="F8" s="62">
        <v>0</v>
      </c>
      <c r="G8" s="62">
        <v>0</v>
      </c>
      <c r="H8" s="62">
        <v>27.27</v>
      </c>
    </row>
    <row r="9" spans="2:8" x14ac:dyDescent="0.35">
      <c r="B9" s="67" t="s">
        <v>30</v>
      </c>
      <c r="C9" s="62">
        <v>8.57</v>
      </c>
      <c r="D9" s="62">
        <v>54.29</v>
      </c>
      <c r="E9" s="62">
        <v>0</v>
      </c>
      <c r="F9" s="62">
        <v>0</v>
      </c>
      <c r="G9" s="62">
        <v>0</v>
      </c>
      <c r="H9" s="62">
        <v>37.14</v>
      </c>
    </row>
    <row r="10" spans="2:8" x14ac:dyDescent="0.35">
      <c r="B10" s="67" t="s">
        <v>31</v>
      </c>
      <c r="C10" s="62">
        <v>0</v>
      </c>
      <c r="D10" s="62">
        <v>16.670000000000002</v>
      </c>
      <c r="E10" s="62">
        <v>0</v>
      </c>
      <c r="F10" s="62">
        <v>0</v>
      </c>
      <c r="G10" s="62">
        <v>0</v>
      </c>
      <c r="H10" s="62">
        <v>83.33</v>
      </c>
    </row>
    <row r="11" spans="2:8" x14ac:dyDescent="0.35">
      <c r="B11" s="67" t="s">
        <v>32</v>
      </c>
      <c r="C11" s="62">
        <v>7.02</v>
      </c>
      <c r="D11" s="62">
        <v>43.86</v>
      </c>
      <c r="E11" s="62">
        <v>0</v>
      </c>
      <c r="F11" s="62">
        <v>0</v>
      </c>
      <c r="G11" s="62">
        <v>0</v>
      </c>
      <c r="H11" s="62">
        <v>49.12</v>
      </c>
    </row>
    <row r="12" spans="2:8" x14ac:dyDescent="0.35">
      <c r="B12" s="67" t="s">
        <v>33</v>
      </c>
      <c r="C12" s="62">
        <v>0</v>
      </c>
      <c r="D12" s="62">
        <v>12.5</v>
      </c>
      <c r="E12" s="62">
        <v>0</v>
      </c>
      <c r="F12" s="62">
        <v>0</v>
      </c>
      <c r="G12" s="62">
        <v>0</v>
      </c>
      <c r="H12" s="62">
        <v>87.5</v>
      </c>
    </row>
    <row r="13" spans="2:8" x14ac:dyDescent="0.35">
      <c r="B13" s="67" t="s">
        <v>34</v>
      </c>
      <c r="C13" s="62">
        <v>30</v>
      </c>
      <c r="D13" s="62">
        <v>30</v>
      </c>
      <c r="E13" s="62">
        <v>0</v>
      </c>
      <c r="F13" s="62">
        <v>0</v>
      </c>
      <c r="G13" s="62">
        <v>0</v>
      </c>
      <c r="H13" s="62">
        <v>40</v>
      </c>
    </row>
    <row r="14" spans="2:8" x14ac:dyDescent="0.35">
      <c r="B14" s="67" t="s">
        <v>35</v>
      </c>
      <c r="C14" s="62">
        <v>17.649999999999999</v>
      </c>
      <c r="D14" s="62">
        <v>17.649999999999999</v>
      </c>
      <c r="E14" s="62">
        <v>0</v>
      </c>
      <c r="F14" s="62">
        <v>5.88</v>
      </c>
      <c r="G14" s="62">
        <v>0</v>
      </c>
      <c r="H14" s="62">
        <v>58.82</v>
      </c>
    </row>
    <row r="15" spans="2:8" x14ac:dyDescent="0.35">
      <c r="B15" s="67" t="s">
        <v>36</v>
      </c>
      <c r="C15" s="62">
        <v>10.26</v>
      </c>
      <c r="D15" s="62">
        <v>10.26</v>
      </c>
      <c r="E15" s="62">
        <v>0</v>
      </c>
      <c r="F15" s="62">
        <v>0</v>
      </c>
      <c r="G15" s="62">
        <v>0</v>
      </c>
      <c r="H15" s="62">
        <v>79.489999999999995</v>
      </c>
    </row>
    <row r="16" spans="2:8" x14ac:dyDescent="0.35">
      <c r="B16" s="67" t="s">
        <v>37</v>
      </c>
      <c r="C16" s="62">
        <v>0</v>
      </c>
      <c r="D16" s="62">
        <v>0</v>
      </c>
      <c r="E16" s="62">
        <v>0</v>
      </c>
      <c r="F16" s="62">
        <v>0</v>
      </c>
      <c r="G16" s="62">
        <v>0</v>
      </c>
      <c r="H16" s="62">
        <v>100</v>
      </c>
    </row>
    <row r="17" spans="2:8" x14ac:dyDescent="0.35">
      <c r="B17" s="67" t="s">
        <v>38</v>
      </c>
      <c r="C17" s="62">
        <v>25</v>
      </c>
      <c r="D17" s="62">
        <v>0</v>
      </c>
      <c r="E17" s="62">
        <v>0</v>
      </c>
      <c r="F17" s="62">
        <v>0</v>
      </c>
      <c r="G17" s="62">
        <v>25</v>
      </c>
      <c r="H17" s="62">
        <v>50</v>
      </c>
    </row>
    <row r="18" spans="2:8" x14ac:dyDescent="0.35">
      <c r="B18" s="67" t="s">
        <v>39</v>
      </c>
      <c r="C18" s="62">
        <v>0</v>
      </c>
      <c r="D18" s="62">
        <v>0</v>
      </c>
      <c r="E18" s="62">
        <v>0</v>
      </c>
      <c r="F18" s="62">
        <v>0</v>
      </c>
      <c r="G18" s="62">
        <v>0</v>
      </c>
      <c r="H18" s="62">
        <v>100</v>
      </c>
    </row>
    <row r="19" spans="2:8" x14ac:dyDescent="0.35">
      <c r="B19" s="59" t="s">
        <v>40</v>
      </c>
      <c r="C19" s="62"/>
      <c r="D19" s="62"/>
      <c r="E19" s="62"/>
      <c r="F19" s="62"/>
      <c r="G19" s="62"/>
      <c r="H19" s="62"/>
    </row>
    <row r="20" spans="2:8" x14ac:dyDescent="0.35">
      <c r="B20" s="67" t="s">
        <v>41</v>
      </c>
      <c r="C20" s="62">
        <v>0</v>
      </c>
      <c r="D20" s="62">
        <v>0</v>
      </c>
      <c r="E20" s="62">
        <v>0</v>
      </c>
      <c r="F20" s="62">
        <v>0</v>
      </c>
      <c r="G20" s="62">
        <v>0</v>
      </c>
      <c r="H20" s="62">
        <v>100</v>
      </c>
    </row>
    <row r="21" spans="2:8" x14ac:dyDescent="0.35">
      <c r="B21" s="67" t="s">
        <v>42</v>
      </c>
      <c r="C21" s="62">
        <v>18.18</v>
      </c>
      <c r="D21" s="62">
        <v>31.82</v>
      </c>
      <c r="E21" s="62">
        <v>0</v>
      </c>
      <c r="F21" s="62">
        <v>0</v>
      </c>
      <c r="G21" s="62">
        <v>0</v>
      </c>
      <c r="H21" s="62">
        <v>50</v>
      </c>
    </row>
    <row r="22" spans="2:8" x14ac:dyDescent="0.35">
      <c r="B22" s="67" t="s">
        <v>43</v>
      </c>
      <c r="C22" s="62">
        <v>32.14</v>
      </c>
      <c r="D22" s="62">
        <v>25</v>
      </c>
      <c r="E22" s="62">
        <v>0</v>
      </c>
      <c r="F22" s="62">
        <v>0</v>
      </c>
      <c r="G22" s="62">
        <v>0</v>
      </c>
      <c r="H22" s="62">
        <v>42.86</v>
      </c>
    </row>
    <row r="23" spans="2:8" x14ac:dyDescent="0.35">
      <c r="B23" s="67" t="s">
        <v>44</v>
      </c>
      <c r="C23" s="62">
        <v>45.65</v>
      </c>
      <c r="D23" s="62">
        <v>2.17</v>
      </c>
      <c r="E23" s="62">
        <v>0</v>
      </c>
      <c r="F23" s="62">
        <v>8.6999999999999993</v>
      </c>
      <c r="G23" s="62">
        <v>0</v>
      </c>
      <c r="H23" s="62">
        <v>43.48</v>
      </c>
    </row>
    <row r="24" spans="2:8" x14ac:dyDescent="0.35">
      <c r="B24" s="67" t="s">
        <v>45</v>
      </c>
      <c r="C24" s="62">
        <v>35.71</v>
      </c>
      <c r="D24" s="62">
        <v>14.29</v>
      </c>
      <c r="E24" s="62">
        <v>0</v>
      </c>
      <c r="F24" s="62">
        <v>0</v>
      </c>
      <c r="G24" s="62">
        <v>0</v>
      </c>
      <c r="H24" s="62">
        <v>50</v>
      </c>
    </row>
    <row r="25" spans="2:8" x14ac:dyDescent="0.35">
      <c r="B25" s="67" t="s">
        <v>46</v>
      </c>
      <c r="C25" s="62">
        <v>0</v>
      </c>
      <c r="D25" s="62">
        <v>0</v>
      </c>
      <c r="E25" s="62">
        <v>0</v>
      </c>
      <c r="F25" s="62">
        <v>8.33</v>
      </c>
      <c r="G25" s="62">
        <v>0</v>
      </c>
      <c r="H25" s="62">
        <v>91.67</v>
      </c>
    </row>
    <row r="26" spans="2:8" x14ac:dyDescent="0.35">
      <c r="B26" s="67" t="s">
        <v>47</v>
      </c>
      <c r="C26" s="62">
        <v>0</v>
      </c>
      <c r="D26" s="62">
        <v>0</v>
      </c>
      <c r="E26" s="62">
        <v>0</v>
      </c>
      <c r="F26" s="62">
        <v>0</v>
      </c>
      <c r="G26" s="62">
        <v>0</v>
      </c>
      <c r="H26" s="62">
        <v>100</v>
      </c>
    </row>
    <row r="27" spans="2:8" x14ac:dyDescent="0.35">
      <c r="B27" s="67" t="s">
        <v>48</v>
      </c>
      <c r="C27" s="62">
        <v>44.44</v>
      </c>
      <c r="D27" s="62">
        <v>0</v>
      </c>
      <c r="E27" s="62">
        <v>0</v>
      </c>
      <c r="F27" s="62">
        <v>0</v>
      </c>
      <c r="G27" s="62">
        <v>0</v>
      </c>
      <c r="H27" s="62">
        <v>55.56</v>
      </c>
    </row>
    <row r="28" spans="2:8" x14ac:dyDescent="0.35">
      <c r="B28" s="67" t="s">
        <v>49</v>
      </c>
      <c r="C28" s="62">
        <v>53.93</v>
      </c>
      <c r="D28" s="62">
        <v>13.48</v>
      </c>
      <c r="E28" s="62">
        <v>12.36</v>
      </c>
      <c r="F28" s="62">
        <v>2.25</v>
      </c>
      <c r="G28" s="62">
        <v>0</v>
      </c>
      <c r="H28" s="62">
        <v>17.98</v>
      </c>
    </row>
    <row r="29" spans="2:8" x14ac:dyDescent="0.35">
      <c r="B29" s="67" t="s">
        <v>50</v>
      </c>
      <c r="C29" s="62">
        <v>17.14</v>
      </c>
      <c r="D29" s="62">
        <v>28.57</v>
      </c>
      <c r="E29" s="62">
        <v>2.86</v>
      </c>
      <c r="F29" s="62">
        <v>0</v>
      </c>
      <c r="G29" s="62">
        <v>11.43</v>
      </c>
      <c r="H29" s="62">
        <v>40</v>
      </c>
    </row>
    <row r="30" spans="2:8" x14ac:dyDescent="0.35">
      <c r="B30" s="67" t="s">
        <v>51</v>
      </c>
      <c r="C30" s="62">
        <v>27.66</v>
      </c>
      <c r="D30" s="62">
        <v>14.89</v>
      </c>
      <c r="E30" s="62">
        <v>2.13</v>
      </c>
      <c r="F30" s="62">
        <v>0</v>
      </c>
      <c r="G30" s="62">
        <v>0</v>
      </c>
      <c r="H30" s="62">
        <v>55.32</v>
      </c>
    </row>
    <row r="31" spans="2:8" x14ac:dyDescent="0.35">
      <c r="B31" s="67" t="s">
        <v>52</v>
      </c>
      <c r="C31" s="62">
        <v>40.24</v>
      </c>
      <c r="D31" s="62">
        <v>17.07</v>
      </c>
      <c r="E31" s="62">
        <v>1.22</v>
      </c>
      <c r="F31" s="62">
        <v>1.22</v>
      </c>
      <c r="G31" s="62">
        <v>7.32</v>
      </c>
      <c r="H31" s="62">
        <v>32.93</v>
      </c>
    </row>
    <row r="32" spans="2:8" x14ac:dyDescent="0.35">
      <c r="B32" s="67" t="s">
        <v>53</v>
      </c>
      <c r="C32" s="62">
        <v>14.81</v>
      </c>
      <c r="D32" s="62">
        <v>18.52</v>
      </c>
      <c r="E32" s="62">
        <v>11.11</v>
      </c>
      <c r="F32" s="62">
        <v>14.81</v>
      </c>
      <c r="G32" s="62">
        <v>11.11</v>
      </c>
      <c r="H32" s="62">
        <v>29.63</v>
      </c>
    </row>
    <row r="33" spans="2:8" x14ac:dyDescent="0.35">
      <c r="B33" s="67" t="s">
        <v>54</v>
      </c>
      <c r="C33" s="62">
        <v>20</v>
      </c>
      <c r="D33" s="62">
        <v>33.33</v>
      </c>
      <c r="E33" s="62">
        <v>13.33</v>
      </c>
      <c r="F33" s="62">
        <v>6.67</v>
      </c>
      <c r="G33" s="62">
        <v>0</v>
      </c>
      <c r="H33" s="62">
        <v>26.67</v>
      </c>
    </row>
    <row r="34" spans="2:8" ht="15" thickBot="1" x14ac:dyDescent="0.4">
      <c r="B34" s="68" t="s">
        <v>55</v>
      </c>
      <c r="C34" s="61">
        <v>38.46</v>
      </c>
      <c r="D34" s="61">
        <v>28.85</v>
      </c>
      <c r="E34" s="61">
        <v>11.54</v>
      </c>
      <c r="F34" s="61">
        <v>0</v>
      </c>
      <c r="G34" s="61">
        <v>5.77</v>
      </c>
      <c r="H34" s="61">
        <v>15.38</v>
      </c>
    </row>
    <row r="35" spans="2:8" ht="15.5" thickTop="1" thickBot="1" x14ac:dyDescent="0.4">
      <c r="B35" s="69" t="s">
        <v>71</v>
      </c>
      <c r="C35" s="63">
        <v>25.74</v>
      </c>
      <c r="D35" s="63">
        <v>21.59</v>
      </c>
      <c r="E35" s="63">
        <v>3.44</v>
      </c>
      <c r="F35" s="63">
        <v>2.25</v>
      </c>
      <c r="G35" s="63">
        <v>2.4900000000000002</v>
      </c>
      <c r="H35" s="63">
        <v>44.48</v>
      </c>
    </row>
    <row r="36" spans="2:8" ht="16" thickTop="1" x14ac:dyDescent="0.35">
      <c r="B36" s="70" t="s">
        <v>172</v>
      </c>
    </row>
    <row r="37" spans="2:8" x14ac:dyDescent="0.35">
      <c r="C37" s="143"/>
      <c r="D37" s="143"/>
      <c r="E37" s="143"/>
      <c r="F37" s="143"/>
      <c r="G37" s="143"/>
      <c r="H37" s="143"/>
    </row>
  </sheetData>
  <mergeCells count="3">
    <mergeCell ref="B3:B4"/>
    <mergeCell ref="C3:G3"/>
    <mergeCell ref="H3:H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B2:H37"/>
  <sheetViews>
    <sheetView workbookViewId="0">
      <selection activeCell="T47" sqref="T47"/>
    </sheetView>
  </sheetViews>
  <sheetFormatPr defaultRowHeight="14.5" x14ac:dyDescent="0.35"/>
  <cols>
    <col min="2" max="2" width="13.7265625" customWidth="1"/>
    <col min="3" max="3" width="7.81640625" bestFit="1" customWidth="1"/>
    <col min="4" max="4" width="8.1796875" customWidth="1"/>
    <col min="5" max="5" width="8.26953125" customWidth="1"/>
    <col min="6" max="6" width="8.54296875" customWidth="1"/>
    <col min="7" max="7" width="7.81640625" customWidth="1"/>
    <col min="8" max="8" width="10.54296875" customWidth="1"/>
  </cols>
  <sheetData>
    <row r="2" spans="2:8" ht="15.5" x14ac:dyDescent="0.35">
      <c r="B2" s="58" t="s">
        <v>214</v>
      </c>
      <c r="C2" s="64"/>
      <c r="D2" s="65"/>
      <c r="E2" s="65"/>
      <c r="F2" s="65"/>
      <c r="G2" s="65"/>
      <c r="H2" s="65"/>
    </row>
    <row r="3" spans="2:8" x14ac:dyDescent="0.35">
      <c r="B3" s="205" t="s">
        <v>25</v>
      </c>
      <c r="C3" s="207" t="s">
        <v>92</v>
      </c>
      <c r="D3" s="207"/>
      <c r="E3" s="207"/>
      <c r="F3" s="207"/>
      <c r="G3" s="207"/>
      <c r="H3" s="208" t="s">
        <v>93</v>
      </c>
    </row>
    <row r="4" spans="2:8" ht="39" customHeight="1" thickBot="1" x14ac:dyDescent="0.4">
      <c r="B4" s="206"/>
      <c r="C4" s="66" t="s">
        <v>94</v>
      </c>
      <c r="D4" s="66" t="s">
        <v>95</v>
      </c>
      <c r="E4" s="66" t="s">
        <v>96</v>
      </c>
      <c r="F4" s="66" t="s">
        <v>97</v>
      </c>
      <c r="G4" s="66" t="s">
        <v>98</v>
      </c>
      <c r="H4" s="209"/>
    </row>
    <row r="5" spans="2:8" ht="15" thickTop="1" x14ac:dyDescent="0.35">
      <c r="B5" s="67" t="s">
        <v>175</v>
      </c>
      <c r="C5" s="62">
        <v>0</v>
      </c>
      <c r="D5" s="62">
        <v>0</v>
      </c>
      <c r="E5" s="62">
        <v>0</v>
      </c>
      <c r="F5" s="62">
        <v>0</v>
      </c>
      <c r="G5" s="62">
        <v>0</v>
      </c>
      <c r="H5" s="62">
        <v>0</v>
      </c>
    </row>
    <row r="6" spans="2:8" x14ac:dyDescent="0.35">
      <c r="B6" s="67" t="s">
        <v>27</v>
      </c>
      <c r="C6" s="62">
        <v>15.79</v>
      </c>
      <c r="D6" s="62">
        <v>0</v>
      </c>
      <c r="E6" s="62">
        <v>5.26</v>
      </c>
      <c r="F6" s="62">
        <v>0</v>
      </c>
      <c r="G6" s="62">
        <v>5.26</v>
      </c>
      <c r="H6" s="62">
        <v>73.680000000000007</v>
      </c>
    </row>
    <row r="7" spans="2:8" x14ac:dyDescent="0.35">
      <c r="B7" s="67" t="s">
        <v>28</v>
      </c>
      <c r="C7" s="62">
        <v>50</v>
      </c>
      <c r="D7" s="62">
        <v>10</v>
      </c>
      <c r="E7" s="62">
        <v>0</v>
      </c>
      <c r="F7" s="62">
        <v>0</v>
      </c>
      <c r="G7" s="62">
        <v>0</v>
      </c>
      <c r="H7" s="62">
        <v>40</v>
      </c>
    </row>
    <row r="8" spans="2:8" x14ac:dyDescent="0.35">
      <c r="B8" s="67" t="s">
        <v>29</v>
      </c>
      <c r="C8" s="62">
        <v>0</v>
      </c>
      <c r="D8" s="62">
        <v>57.14</v>
      </c>
      <c r="E8" s="62">
        <v>0</v>
      </c>
      <c r="F8" s="62">
        <v>0</v>
      </c>
      <c r="G8" s="62">
        <v>0</v>
      </c>
      <c r="H8" s="62">
        <v>42.86</v>
      </c>
    </row>
    <row r="9" spans="2:8" x14ac:dyDescent="0.35">
      <c r="B9" s="67" t="s">
        <v>30</v>
      </c>
      <c r="C9" s="62">
        <v>4</v>
      </c>
      <c r="D9" s="62">
        <v>68</v>
      </c>
      <c r="E9" s="62">
        <v>0</v>
      </c>
      <c r="F9" s="62">
        <v>0</v>
      </c>
      <c r="G9" s="62">
        <v>0</v>
      </c>
      <c r="H9" s="62">
        <v>28</v>
      </c>
    </row>
    <row r="10" spans="2:8" x14ac:dyDescent="0.35">
      <c r="B10" s="67" t="s">
        <v>31</v>
      </c>
      <c r="C10" s="62">
        <v>9.09</v>
      </c>
      <c r="D10" s="62">
        <v>9.09</v>
      </c>
      <c r="E10" s="62">
        <v>0</v>
      </c>
      <c r="F10" s="62">
        <v>0</v>
      </c>
      <c r="G10" s="62">
        <v>0</v>
      </c>
      <c r="H10" s="62">
        <v>81.819999999999993</v>
      </c>
    </row>
    <row r="11" spans="2:8" x14ac:dyDescent="0.35">
      <c r="B11" s="67" t="s">
        <v>32</v>
      </c>
      <c r="C11" s="62">
        <v>12.2</v>
      </c>
      <c r="D11" s="62">
        <v>51.22</v>
      </c>
      <c r="E11" s="62">
        <v>0</v>
      </c>
      <c r="F11" s="62">
        <v>0</v>
      </c>
      <c r="G11" s="62">
        <v>0</v>
      </c>
      <c r="H11" s="62">
        <v>36.590000000000003</v>
      </c>
    </row>
    <row r="12" spans="2:8" x14ac:dyDescent="0.35">
      <c r="B12" s="67" t="s">
        <v>33</v>
      </c>
      <c r="C12" s="62">
        <v>25</v>
      </c>
      <c r="D12" s="62">
        <v>25</v>
      </c>
      <c r="E12" s="62">
        <v>0</v>
      </c>
      <c r="F12" s="62">
        <v>0</v>
      </c>
      <c r="G12" s="62">
        <v>0</v>
      </c>
      <c r="H12" s="62">
        <v>50</v>
      </c>
    </row>
    <row r="13" spans="2:8" x14ac:dyDescent="0.35">
      <c r="B13" s="67" t="s">
        <v>34</v>
      </c>
      <c r="C13" s="62">
        <v>43.75</v>
      </c>
      <c r="D13" s="62">
        <v>37.5</v>
      </c>
      <c r="E13" s="62">
        <v>0</v>
      </c>
      <c r="F13" s="62">
        <v>0</v>
      </c>
      <c r="G13" s="62">
        <v>0</v>
      </c>
      <c r="H13" s="62">
        <v>18.75</v>
      </c>
    </row>
    <row r="14" spans="2:8" x14ac:dyDescent="0.35">
      <c r="B14" s="67" t="s">
        <v>35</v>
      </c>
      <c r="C14" s="62">
        <v>37.5</v>
      </c>
      <c r="D14" s="62">
        <v>0</v>
      </c>
      <c r="E14" s="62">
        <v>0</v>
      </c>
      <c r="F14" s="62">
        <v>0</v>
      </c>
      <c r="G14" s="62">
        <v>0</v>
      </c>
      <c r="H14" s="62">
        <v>62.5</v>
      </c>
    </row>
    <row r="15" spans="2:8" x14ac:dyDescent="0.35">
      <c r="B15" s="67" t="s">
        <v>36</v>
      </c>
      <c r="C15" s="62">
        <v>36.36</v>
      </c>
      <c r="D15" s="62">
        <v>15.15</v>
      </c>
      <c r="E15" s="62">
        <v>0</v>
      </c>
      <c r="F15" s="62">
        <v>0</v>
      </c>
      <c r="G15" s="62">
        <v>0</v>
      </c>
      <c r="H15" s="62">
        <v>48.48</v>
      </c>
    </row>
    <row r="16" spans="2:8" x14ac:dyDescent="0.35">
      <c r="B16" s="67" t="s">
        <v>37</v>
      </c>
      <c r="C16" s="62">
        <v>11.11</v>
      </c>
      <c r="D16" s="62">
        <v>0</v>
      </c>
      <c r="E16" s="62">
        <v>0</v>
      </c>
      <c r="F16" s="62">
        <v>0</v>
      </c>
      <c r="G16" s="62">
        <v>0</v>
      </c>
      <c r="H16" s="62">
        <v>88.89</v>
      </c>
    </row>
    <row r="17" spans="2:8" x14ac:dyDescent="0.35">
      <c r="B17" s="67" t="s">
        <v>38</v>
      </c>
      <c r="C17" s="62">
        <v>50</v>
      </c>
      <c r="D17" s="62">
        <v>0</v>
      </c>
      <c r="E17" s="62">
        <v>0</v>
      </c>
      <c r="F17" s="62">
        <v>0</v>
      </c>
      <c r="G17" s="62">
        <v>0</v>
      </c>
      <c r="H17" s="62">
        <v>50</v>
      </c>
    </row>
    <row r="18" spans="2:8" x14ac:dyDescent="0.35">
      <c r="B18" s="67" t="s">
        <v>39</v>
      </c>
      <c r="C18" s="62">
        <v>100</v>
      </c>
      <c r="D18" s="62">
        <v>0</v>
      </c>
      <c r="E18" s="62">
        <v>0</v>
      </c>
      <c r="F18" s="62">
        <v>0</v>
      </c>
      <c r="G18" s="62">
        <v>0</v>
      </c>
      <c r="H18" s="62">
        <v>0</v>
      </c>
    </row>
    <row r="19" spans="2:8" x14ac:dyDescent="0.35">
      <c r="B19" s="59" t="s">
        <v>40</v>
      </c>
      <c r="C19" s="6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</row>
    <row r="20" spans="2:8" x14ac:dyDescent="0.35">
      <c r="B20" s="67" t="s">
        <v>41</v>
      </c>
      <c r="C20" s="62">
        <v>0</v>
      </c>
      <c r="D20" s="62">
        <v>0</v>
      </c>
      <c r="E20" s="62">
        <v>0</v>
      </c>
      <c r="F20" s="62">
        <v>0</v>
      </c>
      <c r="G20" s="62">
        <v>0</v>
      </c>
      <c r="H20" s="62">
        <v>100</v>
      </c>
    </row>
    <row r="21" spans="2:8" x14ac:dyDescent="0.35">
      <c r="B21" s="67" t="s">
        <v>42</v>
      </c>
      <c r="C21" s="62">
        <v>10.53</v>
      </c>
      <c r="D21" s="62">
        <v>36.840000000000003</v>
      </c>
      <c r="E21" s="62">
        <v>0</v>
      </c>
      <c r="F21" s="62">
        <v>0</v>
      </c>
      <c r="G21" s="62">
        <v>0</v>
      </c>
      <c r="H21" s="62">
        <v>52.63</v>
      </c>
    </row>
    <row r="22" spans="2:8" x14ac:dyDescent="0.35">
      <c r="B22" s="67" t="s">
        <v>43</v>
      </c>
      <c r="C22" s="62">
        <v>6.67</v>
      </c>
      <c r="D22" s="62">
        <v>40</v>
      </c>
      <c r="E22" s="62">
        <v>0</v>
      </c>
      <c r="F22" s="62">
        <v>0</v>
      </c>
      <c r="G22" s="62">
        <v>0</v>
      </c>
      <c r="H22" s="62">
        <v>53.33</v>
      </c>
    </row>
    <row r="23" spans="2:8" x14ac:dyDescent="0.35">
      <c r="B23" s="67" t="s">
        <v>44</v>
      </c>
      <c r="C23" s="62">
        <v>56.25</v>
      </c>
      <c r="D23" s="62">
        <v>6.25</v>
      </c>
      <c r="E23" s="62">
        <v>0</v>
      </c>
      <c r="F23" s="62">
        <v>6.25</v>
      </c>
      <c r="G23" s="62">
        <v>0</v>
      </c>
      <c r="H23" s="62">
        <v>31.25</v>
      </c>
    </row>
    <row r="24" spans="2:8" x14ac:dyDescent="0.35">
      <c r="B24" s="67" t="s">
        <v>45</v>
      </c>
      <c r="C24" s="62">
        <v>0</v>
      </c>
      <c r="D24" s="62">
        <v>40</v>
      </c>
      <c r="E24" s="62">
        <v>0</v>
      </c>
      <c r="F24" s="62">
        <v>0</v>
      </c>
      <c r="G24" s="62">
        <v>0</v>
      </c>
      <c r="H24" s="62">
        <v>60</v>
      </c>
    </row>
    <row r="25" spans="2:8" x14ac:dyDescent="0.35">
      <c r="B25" s="67" t="s">
        <v>46</v>
      </c>
      <c r="C25" s="62">
        <v>0</v>
      </c>
      <c r="D25" s="62">
        <v>0</v>
      </c>
      <c r="E25" s="62">
        <v>0</v>
      </c>
      <c r="F25" s="62">
        <v>0</v>
      </c>
      <c r="G25" s="62">
        <v>0</v>
      </c>
      <c r="H25" s="62">
        <v>100</v>
      </c>
    </row>
    <row r="26" spans="2:8" x14ac:dyDescent="0.35">
      <c r="B26" s="67" t="s">
        <v>47</v>
      </c>
      <c r="C26" s="62">
        <v>0</v>
      </c>
      <c r="D26" s="62">
        <v>0</v>
      </c>
      <c r="E26" s="62">
        <v>0</v>
      </c>
      <c r="F26" s="62">
        <v>0</v>
      </c>
      <c r="G26" s="62">
        <v>0</v>
      </c>
      <c r="H26" s="62">
        <v>100</v>
      </c>
    </row>
    <row r="27" spans="2:8" x14ac:dyDescent="0.35">
      <c r="B27" s="67" t="s">
        <v>48</v>
      </c>
      <c r="C27" s="62">
        <v>14.29</v>
      </c>
      <c r="D27" s="62">
        <v>0</v>
      </c>
      <c r="E27" s="62">
        <v>0</v>
      </c>
      <c r="F27" s="62">
        <v>0</v>
      </c>
      <c r="G27" s="62">
        <v>0</v>
      </c>
      <c r="H27" s="62">
        <v>85.71</v>
      </c>
    </row>
    <row r="28" spans="2:8" x14ac:dyDescent="0.35">
      <c r="B28" s="67" t="s">
        <v>49</v>
      </c>
      <c r="C28" s="62">
        <v>45.07</v>
      </c>
      <c r="D28" s="62">
        <v>12.68</v>
      </c>
      <c r="E28" s="62">
        <v>29.58</v>
      </c>
      <c r="F28" s="62">
        <v>0</v>
      </c>
      <c r="G28" s="62">
        <v>0</v>
      </c>
      <c r="H28" s="62">
        <v>12.68</v>
      </c>
    </row>
    <row r="29" spans="2:8" x14ac:dyDescent="0.35">
      <c r="B29" s="67" t="s">
        <v>50</v>
      </c>
      <c r="C29" s="62">
        <v>1.56</v>
      </c>
      <c r="D29" s="62">
        <v>21.88</v>
      </c>
      <c r="E29" s="62">
        <v>3.12</v>
      </c>
      <c r="F29" s="62">
        <v>0</v>
      </c>
      <c r="G29" s="62">
        <v>15.62</v>
      </c>
      <c r="H29" s="62">
        <v>57.81</v>
      </c>
    </row>
    <row r="30" spans="2:8" x14ac:dyDescent="0.35">
      <c r="B30" s="67" t="s">
        <v>51</v>
      </c>
      <c r="C30" s="62">
        <v>34.619999999999997</v>
      </c>
      <c r="D30" s="62">
        <v>15.38</v>
      </c>
      <c r="E30" s="62">
        <v>3.85</v>
      </c>
      <c r="F30" s="62">
        <v>0</v>
      </c>
      <c r="G30" s="62">
        <v>0</v>
      </c>
      <c r="H30" s="62">
        <v>46.15</v>
      </c>
    </row>
    <row r="31" spans="2:8" x14ac:dyDescent="0.35">
      <c r="B31" s="67" t="s">
        <v>52</v>
      </c>
      <c r="C31" s="62">
        <v>16.07</v>
      </c>
      <c r="D31" s="62">
        <v>19.64</v>
      </c>
      <c r="E31" s="62">
        <v>7.14</v>
      </c>
      <c r="F31" s="62">
        <v>19.64</v>
      </c>
      <c r="G31" s="62">
        <v>7.14</v>
      </c>
      <c r="H31" s="62">
        <v>30.36</v>
      </c>
    </row>
    <row r="32" spans="2:8" x14ac:dyDescent="0.35">
      <c r="B32" s="67" t="s">
        <v>53</v>
      </c>
      <c r="C32" s="62">
        <v>36.36</v>
      </c>
      <c r="D32" s="62">
        <v>13.64</v>
      </c>
      <c r="E32" s="62">
        <v>0</v>
      </c>
      <c r="F32" s="62">
        <v>9.09</v>
      </c>
      <c r="G32" s="62">
        <v>22.73</v>
      </c>
      <c r="H32" s="62">
        <v>18.18</v>
      </c>
    </row>
    <row r="33" spans="2:8" x14ac:dyDescent="0.35">
      <c r="B33" s="67" t="s">
        <v>54</v>
      </c>
      <c r="C33" s="62">
        <v>25</v>
      </c>
      <c r="D33" s="62">
        <v>56.25</v>
      </c>
      <c r="E33" s="62">
        <v>0</v>
      </c>
      <c r="F33" s="62">
        <v>0</v>
      </c>
      <c r="G33" s="62">
        <v>0</v>
      </c>
      <c r="H33" s="62">
        <v>18.75</v>
      </c>
    </row>
    <row r="34" spans="2:8" ht="15" thickBot="1" x14ac:dyDescent="0.4">
      <c r="B34" s="68" t="s">
        <v>55</v>
      </c>
      <c r="C34" s="61">
        <v>27.42</v>
      </c>
      <c r="D34" s="61">
        <v>24.19</v>
      </c>
      <c r="E34" s="61">
        <v>8.06</v>
      </c>
      <c r="F34" s="61">
        <v>1.61</v>
      </c>
      <c r="G34" s="61">
        <v>3.23</v>
      </c>
      <c r="H34" s="61">
        <v>35.479999999999997</v>
      </c>
    </row>
    <row r="35" spans="2:8" ht="15.5" thickTop="1" thickBot="1" x14ac:dyDescent="0.4">
      <c r="B35" s="69" t="s">
        <v>71</v>
      </c>
      <c r="C35" s="63">
        <v>22.86</v>
      </c>
      <c r="D35" s="63">
        <v>24.54</v>
      </c>
      <c r="E35" s="63">
        <v>5.71</v>
      </c>
      <c r="F35" s="63">
        <v>2.52</v>
      </c>
      <c r="G35" s="63">
        <v>3.7</v>
      </c>
      <c r="H35" s="63">
        <v>40.67</v>
      </c>
    </row>
    <row r="36" spans="2:8" ht="16" thickTop="1" x14ac:dyDescent="0.35">
      <c r="B36" s="70" t="s">
        <v>172</v>
      </c>
    </row>
    <row r="37" spans="2:8" x14ac:dyDescent="0.35">
      <c r="C37" s="143"/>
      <c r="D37" s="143"/>
      <c r="E37" s="143"/>
      <c r="F37" s="143"/>
      <c r="G37" s="143"/>
      <c r="H37" s="143"/>
    </row>
  </sheetData>
  <mergeCells count="3">
    <mergeCell ref="B3:B4"/>
    <mergeCell ref="C3:G3"/>
    <mergeCell ref="H3:H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B3:G37"/>
  <sheetViews>
    <sheetView workbookViewId="0">
      <selection activeCell="K10" sqref="K10"/>
    </sheetView>
  </sheetViews>
  <sheetFormatPr defaultRowHeight="14.5" x14ac:dyDescent="0.35"/>
  <cols>
    <col min="2" max="2" width="13" customWidth="1"/>
    <col min="3" max="3" width="14.453125" bestFit="1" customWidth="1"/>
    <col min="4" max="4" width="11.54296875" bestFit="1" customWidth="1"/>
    <col min="5" max="5" width="15.54296875" bestFit="1" customWidth="1"/>
    <col min="6" max="6" width="12.36328125" bestFit="1" customWidth="1"/>
    <col min="7" max="7" width="9.453125" bestFit="1" customWidth="1"/>
  </cols>
  <sheetData>
    <row r="3" spans="2:7" ht="16" thickBot="1" x14ac:dyDescent="0.4">
      <c r="B3" s="19" t="s">
        <v>215</v>
      </c>
    </row>
    <row r="4" spans="2:7" ht="15" thickBot="1" x14ac:dyDescent="0.4">
      <c r="B4" s="210" t="s">
        <v>25</v>
      </c>
      <c r="C4" s="212" t="s">
        <v>92</v>
      </c>
      <c r="D4" s="212"/>
      <c r="E4" s="212"/>
      <c r="F4" s="212"/>
      <c r="G4" s="81" t="s">
        <v>99</v>
      </c>
    </row>
    <row r="5" spans="2:7" ht="15" thickBot="1" x14ac:dyDescent="0.4">
      <c r="B5" s="211"/>
      <c r="C5" s="82" t="s">
        <v>94</v>
      </c>
      <c r="D5" s="82" t="s">
        <v>96</v>
      </c>
      <c r="E5" s="82" t="s">
        <v>97</v>
      </c>
      <c r="F5" s="82" t="s">
        <v>98</v>
      </c>
      <c r="G5" s="83" t="s">
        <v>100</v>
      </c>
    </row>
    <row r="6" spans="2:7" ht="15" thickTop="1" x14ac:dyDescent="0.35">
      <c r="B6" s="12" t="s">
        <v>26</v>
      </c>
      <c r="C6" s="84" t="s">
        <v>22</v>
      </c>
      <c r="D6" s="84" t="s">
        <v>22</v>
      </c>
      <c r="E6" s="84" t="s">
        <v>22</v>
      </c>
      <c r="F6" s="84" t="s">
        <v>22</v>
      </c>
      <c r="G6" s="84">
        <v>100</v>
      </c>
    </row>
    <row r="7" spans="2:7" x14ac:dyDescent="0.35">
      <c r="B7" s="12" t="s">
        <v>27</v>
      </c>
      <c r="C7" s="84">
        <v>6.67</v>
      </c>
      <c r="D7" s="84" t="s">
        <v>22</v>
      </c>
      <c r="E7" s="84" t="s">
        <v>22</v>
      </c>
      <c r="F7" s="84" t="s">
        <v>22</v>
      </c>
      <c r="G7" s="84">
        <v>93.33</v>
      </c>
    </row>
    <row r="8" spans="2:7" x14ac:dyDescent="0.35">
      <c r="B8" s="12" t="s">
        <v>28</v>
      </c>
      <c r="C8" s="84">
        <v>100</v>
      </c>
      <c r="D8" s="84" t="s">
        <v>22</v>
      </c>
      <c r="E8" s="84" t="s">
        <v>22</v>
      </c>
      <c r="F8" s="84" t="s">
        <v>22</v>
      </c>
      <c r="G8" s="84" t="s">
        <v>22</v>
      </c>
    </row>
    <row r="9" spans="2:7" x14ac:dyDescent="0.35">
      <c r="B9" s="12" t="s">
        <v>29</v>
      </c>
      <c r="C9" s="84">
        <v>21.05</v>
      </c>
      <c r="D9" s="84" t="s">
        <v>22</v>
      </c>
      <c r="E9" s="84" t="s">
        <v>22</v>
      </c>
      <c r="F9" s="84" t="s">
        <v>22</v>
      </c>
      <c r="G9" s="84">
        <v>78.95</v>
      </c>
    </row>
    <row r="10" spans="2:7" x14ac:dyDescent="0.35">
      <c r="B10" s="12" t="s">
        <v>30</v>
      </c>
      <c r="C10" s="84" t="s">
        <v>22</v>
      </c>
      <c r="D10" s="84" t="s">
        <v>22</v>
      </c>
      <c r="E10" s="84" t="s">
        <v>22</v>
      </c>
      <c r="F10" s="84" t="s">
        <v>22</v>
      </c>
      <c r="G10" s="84">
        <v>100</v>
      </c>
    </row>
    <row r="11" spans="2:7" x14ac:dyDescent="0.35">
      <c r="B11" s="12" t="s">
        <v>31</v>
      </c>
      <c r="C11" s="84" t="s">
        <v>22</v>
      </c>
      <c r="D11" s="84" t="s">
        <v>22</v>
      </c>
      <c r="E11" s="84" t="s">
        <v>22</v>
      </c>
      <c r="F11" s="84" t="s">
        <v>22</v>
      </c>
      <c r="G11" s="84">
        <v>100</v>
      </c>
    </row>
    <row r="12" spans="2:7" x14ac:dyDescent="0.35">
      <c r="B12" s="12" t="s">
        <v>32</v>
      </c>
      <c r="C12" s="84">
        <v>50</v>
      </c>
      <c r="D12" s="84" t="s">
        <v>22</v>
      </c>
      <c r="E12" s="84" t="s">
        <v>22</v>
      </c>
      <c r="F12" s="84" t="s">
        <v>22</v>
      </c>
      <c r="G12" s="84">
        <v>50</v>
      </c>
    </row>
    <row r="13" spans="2:7" x14ac:dyDescent="0.35">
      <c r="B13" s="12" t="s">
        <v>33</v>
      </c>
      <c r="C13" s="84" t="s">
        <v>22</v>
      </c>
      <c r="D13" s="84" t="s">
        <v>22</v>
      </c>
      <c r="E13" s="84" t="s">
        <v>22</v>
      </c>
      <c r="F13" s="84" t="s">
        <v>22</v>
      </c>
      <c r="G13" s="84">
        <v>100</v>
      </c>
    </row>
    <row r="14" spans="2:7" x14ac:dyDescent="0.35">
      <c r="B14" s="12" t="s">
        <v>34</v>
      </c>
      <c r="C14" s="84">
        <v>6.67</v>
      </c>
      <c r="D14" s="84" t="s">
        <v>22</v>
      </c>
      <c r="E14" s="84" t="s">
        <v>22</v>
      </c>
      <c r="F14" s="84" t="s">
        <v>22</v>
      </c>
      <c r="G14" s="84">
        <v>93.33</v>
      </c>
    </row>
    <row r="15" spans="2:7" x14ac:dyDescent="0.35">
      <c r="B15" s="12" t="s">
        <v>35</v>
      </c>
      <c r="C15" s="84" t="s">
        <v>22</v>
      </c>
      <c r="D15" s="84" t="s">
        <v>22</v>
      </c>
      <c r="E15" s="84" t="s">
        <v>22</v>
      </c>
      <c r="F15" s="84" t="s">
        <v>22</v>
      </c>
      <c r="G15" s="84">
        <v>100</v>
      </c>
    </row>
    <row r="16" spans="2:7" x14ac:dyDescent="0.35">
      <c r="B16" s="12" t="s">
        <v>36</v>
      </c>
      <c r="C16" s="84">
        <v>7.69</v>
      </c>
      <c r="D16" s="84" t="s">
        <v>22</v>
      </c>
      <c r="E16" s="84" t="s">
        <v>22</v>
      </c>
      <c r="F16" s="84" t="s">
        <v>22</v>
      </c>
      <c r="G16" s="84">
        <v>92.31</v>
      </c>
    </row>
    <row r="17" spans="2:7" x14ac:dyDescent="0.35">
      <c r="B17" s="12" t="s">
        <v>37</v>
      </c>
      <c r="C17" s="84">
        <v>30.77</v>
      </c>
      <c r="D17" s="84" t="s">
        <v>22</v>
      </c>
      <c r="E17" s="84" t="s">
        <v>22</v>
      </c>
      <c r="F17" s="84" t="s">
        <v>22</v>
      </c>
      <c r="G17" s="84">
        <v>69.23</v>
      </c>
    </row>
    <row r="18" spans="2:7" x14ac:dyDescent="0.35">
      <c r="B18" s="12" t="s">
        <v>38</v>
      </c>
      <c r="C18" s="84" t="s">
        <v>22</v>
      </c>
      <c r="D18" s="84" t="s">
        <v>22</v>
      </c>
      <c r="E18" s="84" t="s">
        <v>22</v>
      </c>
      <c r="F18" s="84" t="s">
        <v>22</v>
      </c>
      <c r="G18" s="84">
        <v>100</v>
      </c>
    </row>
    <row r="19" spans="2:7" x14ac:dyDescent="0.35">
      <c r="B19" s="12" t="s">
        <v>39</v>
      </c>
      <c r="C19" s="84" t="s">
        <v>22</v>
      </c>
      <c r="D19" s="84" t="s">
        <v>22</v>
      </c>
      <c r="E19" s="84" t="s">
        <v>22</v>
      </c>
      <c r="F19" s="84" t="s">
        <v>22</v>
      </c>
      <c r="G19" s="84">
        <v>100</v>
      </c>
    </row>
    <row r="20" spans="2:7" x14ac:dyDescent="0.35">
      <c r="B20" s="12" t="s">
        <v>40</v>
      </c>
      <c r="C20" s="84" t="s">
        <v>22</v>
      </c>
      <c r="D20" s="84" t="s">
        <v>22</v>
      </c>
      <c r="E20" s="84" t="s">
        <v>22</v>
      </c>
      <c r="F20" s="84" t="s">
        <v>22</v>
      </c>
      <c r="G20" s="84" t="s">
        <v>22</v>
      </c>
    </row>
    <row r="21" spans="2:7" x14ac:dyDescent="0.35">
      <c r="B21" s="12" t="s">
        <v>41</v>
      </c>
      <c r="C21" s="84" t="s">
        <v>22</v>
      </c>
      <c r="D21" s="84" t="s">
        <v>22</v>
      </c>
      <c r="E21" s="84" t="s">
        <v>22</v>
      </c>
      <c r="F21" s="84" t="s">
        <v>22</v>
      </c>
      <c r="G21" s="84">
        <v>100</v>
      </c>
    </row>
    <row r="22" spans="2:7" x14ac:dyDescent="0.35">
      <c r="B22" s="12" t="s">
        <v>42</v>
      </c>
      <c r="C22" s="84" t="s">
        <v>22</v>
      </c>
      <c r="D22" s="84" t="s">
        <v>22</v>
      </c>
      <c r="E22" s="84" t="s">
        <v>22</v>
      </c>
      <c r="F22" s="84" t="s">
        <v>22</v>
      </c>
      <c r="G22" s="84">
        <v>100</v>
      </c>
    </row>
    <row r="23" spans="2:7" x14ac:dyDescent="0.35">
      <c r="B23" s="12" t="s">
        <v>43</v>
      </c>
      <c r="C23" s="84" t="s">
        <v>22</v>
      </c>
      <c r="D23" s="84" t="s">
        <v>22</v>
      </c>
      <c r="E23" s="84" t="s">
        <v>22</v>
      </c>
      <c r="F23" s="84" t="s">
        <v>22</v>
      </c>
      <c r="G23" s="84">
        <v>100</v>
      </c>
    </row>
    <row r="24" spans="2:7" x14ac:dyDescent="0.35">
      <c r="B24" s="12" t="s">
        <v>44</v>
      </c>
      <c r="C24" s="84">
        <v>38.24</v>
      </c>
      <c r="D24" s="84" t="s">
        <v>22</v>
      </c>
      <c r="E24" s="84" t="s">
        <v>22</v>
      </c>
      <c r="F24" s="84" t="s">
        <v>22</v>
      </c>
      <c r="G24" s="84">
        <v>61.76</v>
      </c>
    </row>
    <row r="25" spans="2:7" x14ac:dyDescent="0.35">
      <c r="B25" s="12" t="s">
        <v>45</v>
      </c>
      <c r="C25" s="84" t="s">
        <v>22</v>
      </c>
      <c r="D25" s="84" t="s">
        <v>22</v>
      </c>
      <c r="E25" s="84" t="s">
        <v>22</v>
      </c>
      <c r="F25" s="84" t="s">
        <v>22</v>
      </c>
      <c r="G25" s="84">
        <v>100</v>
      </c>
    </row>
    <row r="26" spans="2:7" x14ac:dyDescent="0.35">
      <c r="B26" s="12" t="s">
        <v>46</v>
      </c>
      <c r="C26" s="84" t="s">
        <v>22</v>
      </c>
      <c r="D26" s="84" t="s">
        <v>22</v>
      </c>
      <c r="E26" s="84" t="s">
        <v>22</v>
      </c>
      <c r="F26" s="84" t="s">
        <v>22</v>
      </c>
      <c r="G26" s="84">
        <v>100</v>
      </c>
    </row>
    <row r="27" spans="2:7" x14ac:dyDescent="0.35">
      <c r="B27" s="12" t="s">
        <v>47</v>
      </c>
      <c r="C27" s="84" t="s">
        <v>22</v>
      </c>
      <c r="D27" s="84" t="s">
        <v>22</v>
      </c>
      <c r="E27" s="84" t="s">
        <v>22</v>
      </c>
      <c r="F27" s="84" t="s">
        <v>22</v>
      </c>
      <c r="G27" s="84">
        <v>100</v>
      </c>
    </row>
    <row r="28" spans="2:7" x14ac:dyDescent="0.35">
      <c r="B28" s="12" t="s">
        <v>48</v>
      </c>
      <c r="C28" s="84" t="s">
        <v>22</v>
      </c>
      <c r="D28" s="84" t="s">
        <v>22</v>
      </c>
      <c r="E28" s="84" t="s">
        <v>22</v>
      </c>
      <c r="F28" s="84" t="s">
        <v>22</v>
      </c>
      <c r="G28" s="84">
        <v>100</v>
      </c>
    </row>
    <row r="29" spans="2:7" x14ac:dyDescent="0.35">
      <c r="B29" s="12" t="s">
        <v>49</v>
      </c>
      <c r="C29" s="84">
        <v>41.67</v>
      </c>
      <c r="D29" s="84" t="s">
        <v>22</v>
      </c>
      <c r="E29" s="84" t="s">
        <v>22</v>
      </c>
      <c r="F29" s="84" t="s">
        <v>22</v>
      </c>
      <c r="G29" s="84">
        <v>58.33</v>
      </c>
    </row>
    <row r="30" spans="2:7" x14ac:dyDescent="0.35">
      <c r="B30" s="12" t="s">
        <v>50</v>
      </c>
      <c r="C30" s="84">
        <v>41.67</v>
      </c>
      <c r="D30" s="84" t="s">
        <v>22</v>
      </c>
      <c r="E30" s="84" t="s">
        <v>22</v>
      </c>
      <c r="F30" s="84" t="s">
        <v>22</v>
      </c>
      <c r="G30" s="84">
        <v>58.33</v>
      </c>
    </row>
    <row r="31" spans="2:7" x14ac:dyDescent="0.35">
      <c r="B31" s="12" t="s">
        <v>51</v>
      </c>
      <c r="C31" s="84">
        <v>6.06</v>
      </c>
      <c r="D31" s="84" t="s">
        <v>22</v>
      </c>
      <c r="E31" s="84" t="s">
        <v>22</v>
      </c>
      <c r="F31" s="84" t="s">
        <v>22</v>
      </c>
      <c r="G31" s="84">
        <v>93.94</v>
      </c>
    </row>
    <row r="32" spans="2:7" x14ac:dyDescent="0.35">
      <c r="B32" s="12" t="s">
        <v>52</v>
      </c>
      <c r="C32" s="84">
        <v>21.43</v>
      </c>
      <c r="D32" s="84" t="s">
        <v>22</v>
      </c>
      <c r="E32" s="84">
        <v>7.14</v>
      </c>
      <c r="F32" s="84" t="s">
        <v>22</v>
      </c>
      <c r="G32" s="84">
        <v>71.430000000000007</v>
      </c>
    </row>
    <row r="33" spans="2:7" x14ac:dyDescent="0.35">
      <c r="B33" s="12" t="s">
        <v>53</v>
      </c>
      <c r="C33" s="84">
        <v>35.14</v>
      </c>
      <c r="D33" s="84" t="s">
        <v>22</v>
      </c>
      <c r="E33" s="84" t="s">
        <v>22</v>
      </c>
      <c r="F33" s="84" t="s">
        <v>22</v>
      </c>
      <c r="G33" s="84">
        <v>64.86</v>
      </c>
    </row>
    <row r="34" spans="2:7" x14ac:dyDescent="0.35">
      <c r="B34" s="12" t="s">
        <v>54</v>
      </c>
      <c r="C34" s="84">
        <v>43.75</v>
      </c>
      <c r="D34" s="84">
        <v>6.25</v>
      </c>
      <c r="E34" s="84" t="s">
        <v>22</v>
      </c>
      <c r="F34" s="84" t="s">
        <v>22</v>
      </c>
      <c r="G34" s="84">
        <v>50</v>
      </c>
    </row>
    <row r="35" spans="2:7" ht="15" thickBot="1" x14ac:dyDescent="0.4">
      <c r="B35" s="14" t="s">
        <v>55</v>
      </c>
      <c r="C35" s="85">
        <v>34.380000000000003</v>
      </c>
      <c r="D35" s="85" t="s">
        <v>22</v>
      </c>
      <c r="E35" s="85" t="s">
        <v>22</v>
      </c>
      <c r="F35" s="85" t="s">
        <v>22</v>
      </c>
      <c r="G35" s="85">
        <v>65.62</v>
      </c>
    </row>
    <row r="36" spans="2:7" ht="15.5" thickTop="1" thickBot="1" x14ac:dyDescent="0.4">
      <c r="B36" s="17" t="s">
        <v>71</v>
      </c>
      <c r="C36" s="82">
        <v>19.420000000000002</v>
      </c>
      <c r="D36" s="82">
        <v>0.28000000000000003</v>
      </c>
      <c r="E36" s="82">
        <v>0.28000000000000003</v>
      </c>
      <c r="F36" s="85" t="s">
        <v>22</v>
      </c>
      <c r="G36" s="82">
        <v>80.03</v>
      </c>
    </row>
    <row r="37" spans="2:7" ht="15" thickTop="1" x14ac:dyDescent="0.35"/>
  </sheetData>
  <mergeCells count="2">
    <mergeCell ref="B4:B5"/>
    <mergeCell ref="C4:F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B2:G35"/>
  <sheetViews>
    <sheetView workbookViewId="0">
      <selection activeCell="T47" sqref="T47"/>
    </sheetView>
  </sheetViews>
  <sheetFormatPr defaultRowHeight="14.5" x14ac:dyDescent="0.35"/>
  <cols>
    <col min="2" max="2" width="19.7265625" bestFit="1" customWidth="1"/>
    <col min="3" max="3" width="10.7265625" bestFit="1" customWidth="1"/>
    <col min="4" max="4" width="14.81640625" bestFit="1" customWidth="1"/>
    <col min="5" max="5" width="14.453125" customWidth="1"/>
    <col min="6" max="6" width="14.453125" bestFit="1" customWidth="1"/>
    <col min="7" max="7" width="16.54296875" bestFit="1" customWidth="1"/>
    <col min="8" max="8" width="13.453125" bestFit="1" customWidth="1"/>
    <col min="9" max="9" width="11.7265625" bestFit="1" customWidth="1"/>
  </cols>
  <sheetData>
    <row r="2" spans="2:7" ht="15.5" x14ac:dyDescent="0.35">
      <c r="B2" s="57" t="s">
        <v>216</v>
      </c>
      <c r="C2" s="71"/>
      <c r="D2" s="60"/>
      <c r="E2" s="71"/>
      <c r="F2" s="60"/>
      <c r="G2" s="60"/>
    </row>
    <row r="3" spans="2:7" ht="15" thickBot="1" x14ac:dyDescent="0.4">
      <c r="B3" s="69" t="s">
        <v>25</v>
      </c>
      <c r="C3" s="69" t="s">
        <v>101</v>
      </c>
      <c r="D3" s="69" t="s">
        <v>102</v>
      </c>
      <c r="E3" s="69" t="s">
        <v>103</v>
      </c>
      <c r="F3" s="69" t="s">
        <v>104</v>
      </c>
      <c r="G3" s="69" t="s">
        <v>105</v>
      </c>
    </row>
    <row r="4" spans="2:7" ht="15" thickTop="1" x14ac:dyDescent="0.35">
      <c r="B4" s="67" t="s">
        <v>26</v>
      </c>
      <c r="C4" s="62">
        <v>0</v>
      </c>
      <c r="D4" s="62">
        <v>0</v>
      </c>
      <c r="E4" s="62">
        <v>0</v>
      </c>
      <c r="F4" s="62">
        <v>100</v>
      </c>
      <c r="G4" s="62">
        <v>0</v>
      </c>
    </row>
    <row r="5" spans="2:7" x14ac:dyDescent="0.35">
      <c r="B5" s="67" t="s">
        <v>27</v>
      </c>
      <c r="C5" s="62">
        <v>4</v>
      </c>
      <c r="D5" s="62">
        <v>16</v>
      </c>
      <c r="E5" s="62">
        <v>24</v>
      </c>
      <c r="F5" s="62">
        <v>50</v>
      </c>
      <c r="G5" s="62">
        <v>6</v>
      </c>
    </row>
    <row r="6" spans="2:7" x14ac:dyDescent="0.35">
      <c r="B6" s="67" t="s">
        <v>28</v>
      </c>
      <c r="C6" s="62">
        <v>0</v>
      </c>
      <c r="D6" s="62">
        <v>0</v>
      </c>
      <c r="E6" s="62">
        <v>0</v>
      </c>
      <c r="F6" s="62">
        <v>75</v>
      </c>
      <c r="G6" s="62">
        <v>25</v>
      </c>
    </row>
    <row r="7" spans="2:7" x14ac:dyDescent="0.35">
      <c r="B7" s="67" t="s">
        <v>29</v>
      </c>
      <c r="C7" s="62">
        <v>0</v>
      </c>
      <c r="D7" s="62">
        <v>0</v>
      </c>
      <c r="E7" s="62">
        <v>56.52</v>
      </c>
      <c r="F7" s="62">
        <v>30.43</v>
      </c>
      <c r="G7" s="62">
        <v>13.04</v>
      </c>
    </row>
    <row r="8" spans="2:7" x14ac:dyDescent="0.35">
      <c r="B8" s="67" t="s">
        <v>30</v>
      </c>
      <c r="C8" s="62">
        <v>17.649999999999999</v>
      </c>
      <c r="D8" s="62">
        <v>3.92</v>
      </c>
      <c r="E8" s="62">
        <v>41.18</v>
      </c>
      <c r="F8" s="62">
        <v>37.25</v>
      </c>
      <c r="G8" s="62">
        <v>0</v>
      </c>
    </row>
    <row r="9" spans="2:7" x14ac:dyDescent="0.35">
      <c r="B9" s="67" t="s">
        <v>31</v>
      </c>
      <c r="C9" s="62">
        <v>0</v>
      </c>
      <c r="D9" s="62">
        <v>0</v>
      </c>
      <c r="E9" s="62">
        <v>55.56</v>
      </c>
      <c r="F9" s="62">
        <v>44.44</v>
      </c>
      <c r="G9" s="62">
        <v>0</v>
      </c>
    </row>
    <row r="10" spans="2:7" x14ac:dyDescent="0.35">
      <c r="B10" s="67" t="s">
        <v>32</v>
      </c>
      <c r="C10" s="62">
        <v>0</v>
      </c>
      <c r="D10" s="62">
        <v>3.51</v>
      </c>
      <c r="E10" s="62">
        <v>70.180000000000007</v>
      </c>
      <c r="F10" s="62">
        <v>21.05</v>
      </c>
      <c r="G10" s="62">
        <v>5.26</v>
      </c>
    </row>
    <row r="11" spans="2:7" x14ac:dyDescent="0.35">
      <c r="B11" s="67" t="s">
        <v>33</v>
      </c>
      <c r="C11" s="62">
        <v>0</v>
      </c>
      <c r="D11" s="62">
        <v>0</v>
      </c>
      <c r="E11" s="62">
        <v>56.25</v>
      </c>
      <c r="F11" s="62">
        <v>43.75</v>
      </c>
      <c r="G11" s="62">
        <v>0</v>
      </c>
    </row>
    <row r="12" spans="2:7" x14ac:dyDescent="0.35">
      <c r="B12" s="67" t="s">
        <v>34</v>
      </c>
      <c r="C12" s="62">
        <v>0</v>
      </c>
      <c r="D12" s="62">
        <v>0</v>
      </c>
      <c r="E12" s="62">
        <v>52.38</v>
      </c>
      <c r="F12" s="62">
        <v>38.1</v>
      </c>
      <c r="G12" s="62">
        <v>9.52</v>
      </c>
    </row>
    <row r="13" spans="2:7" x14ac:dyDescent="0.35">
      <c r="B13" s="67" t="s">
        <v>35</v>
      </c>
      <c r="C13" s="62">
        <v>9.09</v>
      </c>
      <c r="D13" s="62">
        <v>0</v>
      </c>
      <c r="E13" s="62">
        <v>27.27</v>
      </c>
      <c r="F13" s="62">
        <v>59.09</v>
      </c>
      <c r="G13" s="62">
        <v>4.55</v>
      </c>
    </row>
    <row r="14" spans="2:7" x14ac:dyDescent="0.35">
      <c r="B14" s="67" t="s">
        <v>36</v>
      </c>
      <c r="C14" s="62">
        <v>0</v>
      </c>
      <c r="D14" s="62">
        <v>0</v>
      </c>
      <c r="E14" s="62">
        <v>30</v>
      </c>
      <c r="F14" s="62">
        <v>62.5</v>
      </c>
      <c r="G14" s="62">
        <v>7.5</v>
      </c>
    </row>
    <row r="15" spans="2:7" x14ac:dyDescent="0.35">
      <c r="B15" s="67" t="s">
        <v>37</v>
      </c>
      <c r="C15" s="62">
        <v>0</v>
      </c>
      <c r="D15" s="62">
        <v>16.670000000000002</v>
      </c>
      <c r="E15" s="62">
        <v>66.67</v>
      </c>
      <c r="F15" s="62">
        <v>16.670000000000002</v>
      </c>
      <c r="G15" s="62">
        <v>0</v>
      </c>
    </row>
    <row r="16" spans="2:7" x14ac:dyDescent="0.35">
      <c r="B16" s="67" t="s">
        <v>38</v>
      </c>
      <c r="C16" s="62">
        <v>0</v>
      </c>
      <c r="D16" s="62">
        <v>25</v>
      </c>
      <c r="E16" s="62">
        <v>25</v>
      </c>
      <c r="F16" s="62">
        <v>50</v>
      </c>
      <c r="G16" s="62">
        <v>0</v>
      </c>
    </row>
    <row r="17" spans="2:7" x14ac:dyDescent="0.35">
      <c r="B17" s="67" t="s">
        <v>39</v>
      </c>
      <c r="C17" s="62">
        <v>0</v>
      </c>
      <c r="D17" s="62">
        <v>100</v>
      </c>
      <c r="E17" s="62">
        <v>0</v>
      </c>
      <c r="F17" s="62">
        <v>0</v>
      </c>
      <c r="G17" s="62">
        <v>0</v>
      </c>
    </row>
    <row r="18" spans="2:7" x14ac:dyDescent="0.35">
      <c r="B18" s="67" t="s">
        <v>40</v>
      </c>
      <c r="C18" s="62"/>
      <c r="D18" s="62"/>
      <c r="E18" s="62"/>
      <c r="F18" s="62"/>
      <c r="G18" s="62"/>
    </row>
    <row r="19" spans="2:7" x14ac:dyDescent="0.35">
      <c r="B19" s="67" t="s">
        <v>41</v>
      </c>
      <c r="C19" s="62">
        <v>0</v>
      </c>
      <c r="D19" s="62">
        <v>0</v>
      </c>
      <c r="E19" s="62">
        <v>71.430000000000007</v>
      </c>
      <c r="F19" s="62">
        <v>28.57</v>
      </c>
      <c r="G19" s="62">
        <v>0</v>
      </c>
    </row>
    <row r="20" spans="2:7" x14ac:dyDescent="0.35">
      <c r="B20" s="67" t="s">
        <v>42</v>
      </c>
      <c r="C20" s="62">
        <v>0</v>
      </c>
      <c r="D20" s="62">
        <v>9.09</v>
      </c>
      <c r="E20" s="62">
        <v>31.82</v>
      </c>
      <c r="F20" s="62">
        <v>45.45</v>
      </c>
      <c r="G20" s="62">
        <v>13.64</v>
      </c>
    </row>
    <row r="21" spans="2:7" x14ac:dyDescent="0.35">
      <c r="B21" s="67" t="s">
        <v>43</v>
      </c>
      <c r="C21" s="62">
        <v>0</v>
      </c>
      <c r="D21" s="62">
        <v>9.09</v>
      </c>
      <c r="E21" s="62">
        <v>39.39</v>
      </c>
      <c r="F21" s="62">
        <v>51.52</v>
      </c>
      <c r="G21" s="62">
        <v>0</v>
      </c>
    </row>
    <row r="22" spans="2:7" x14ac:dyDescent="0.35">
      <c r="B22" s="67" t="s">
        <v>44</v>
      </c>
      <c r="C22" s="62">
        <v>0</v>
      </c>
      <c r="D22" s="62">
        <v>6</v>
      </c>
      <c r="E22" s="62">
        <v>24</v>
      </c>
      <c r="F22" s="62">
        <v>48</v>
      </c>
      <c r="G22" s="62">
        <v>22</v>
      </c>
    </row>
    <row r="23" spans="2:7" x14ac:dyDescent="0.35">
      <c r="B23" s="67" t="s">
        <v>45</v>
      </c>
      <c r="C23" s="62">
        <v>7.14</v>
      </c>
      <c r="D23" s="62">
        <v>0</v>
      </c>
      <c r="E23" s="62">
        <v>14.29</v>
      </c>
      <c r="F23" s="62">
        <v>78.569999999999993</v>
      </c>
      <c r="G23" s="62">
        <v>0</v>
      </c>
    </row>
    <row r="24" spans="2:7" x14ac:dyDescent="0.35">
      <c r="B24" s="67" t="s">
        <v>46</v>
      </c>
      <c r="C24" s="62">
        <v>0</v>
      </c>
      <c r="D24" s="62">
        <v>25</v>
      </c>
      <c r="E24" s="62">
        <v>25</v>
      </c>
      <c r="F24" s="62">
        <v>50</v>
      </c>
      <c r="G24" s="62">
        <v>0</v>
      </c>
    </row>
    <row r="25" spans="2:7" x14ac:dyDescent="0.35">
      <c r="B25" s="67" t="s">
        <v>47</v>
      </c>
      <c r="C25" s="62">
        <v>0</v>
      </c>
      <c r="D25" s="62">
        <v>0</v>
      </c>
      <c r="E25" s="62">
        <v>33.33</v>
      </c>
      <c r="F25" s="62">
        <v>66.67</v>
      </c>
      <c r="G25" s="62">
        <v>0</v>
      </c>
    </row>
    <row r="26" spans="2:7" x14ac:dyDescent="0.35">
      <c r="B26" s="67" t="s">
        <v>48</v>
      </c>
      <c r="C26" s="62">
        <v>0</v>
      </c>
      <c r="D26" s="62">
        <v>5.56</v>
      </c>
      <c r="E26" s="62">
        <v>61.11</v>
      </c>
      <c r="F26" s="62">
        <v>33.33</v>
      </c>
      <c r="G26" s="62">
        <v>0</v>
      </c>
    </row>
    <row r="27" spans="2:7" x14ac:dyDescent="0.35">
      <c r="B27" s="67" t="s">
        <v>49</v>
      </c>
      <c r="C27" s="62">
        <v>1.1100000000000001</v>
      </c>
      <c r="D27" s="62">
        <v>13.33</v>
      </c>
      <c r="E27" s="62">
        <v>12.22</v>
      </c>
      <c r="F27" s="62">
        <v>33.33</v>
      </c>
      <c r="G27" s="62">
        <v>40</v>
      </c>
    </row>
    <row r="28" spans="2:7" x14ac:dyDescent="0.35">
      <c r="B28" s="67" t="s">
        <v>50</v>
      </c>
      <c r="C28" s="62">
        <v>5.41</v>
      </c>
      <c r="D28" s="62">
        <v>0</v>
      </c>
      <c r="E28" s="62">
        <v>28.38</v>
      </c>
      <c r="F28" s="62">
        <v>59.46</v>
      </c>
      <c r="G28" s="62">
        <v>6.76</v>
      </c>
    </row>
    <row r="29" spans="2:7" x14ac:dyDescent="0.35">
      <c r="B29" s="67" t="s">
        <v>51</v>
      </c>
      <c r="C29" s="62">
        <v>2.04</v>
      </c>
      <c r="D29" s="62">
        <v>4.08</v>
      </c>
      <c r="E29" s="62">
        <v>36.729999999999997</v>
      </c>
      <c r="F29" s="62">
        <v>44.9</v>
      </c>
      <c r="G29" s="62">
        <v>12.24</v>
      </c>
    </row>
    <row r="30" spans="2:7" x14ac:dyDescent="0.35">
      <c r="B30" s="67" t="s">
        <v>52</v>
      </c>
      <c r="C30" s="62">
        <v>0</v>
      </c>
      <c r="D30" s="62">
        <v>2.2200000000000002</v>
      </c>
      <c r="E30" s="62">
        <v>4.4400000000000004</v>
      </c>
      <c r="F30" s="62">
        <v>43.33</v>
      </c>
      <c r="G30" s="62">
        <v>50</v>
      </c>
    </row>
    <row r="31" spans="2:7" x14ac:dyDescent="0.35">
      <c r="B31" s="67" t="s">
        <v>53</v>
      </c>
      <c r="C31" s="62">
        <v>0</v>
      </c>
      <c r="D31" s="62">
        <v>6.67</v>
      </c>
      <c r="E31" s="62">
        <v>26.67</v>
      </c>
      <c r="F31" s="62">
        <v>60</v>
      </c>
      <c r="G31" s="62">
        <v>6.67</v>
      </c>
    </row>
    <row r="32" spans="2:7" x14ac:dyDescent="0.35">
      <c r="B32" s="72" t="s">
        <v>54</v>
      </c>
      <c r="C32" s="73">
        <v>0</v>
      </c>
      <c r="D32" s="73">
        <v>12.9</v>
      </c>
      <c r="E32" s="73">
        <v>38.71</v>
      </c>
      <c r="F32" s="73">
        <v>38.71</v>
      </c>
      <c r="G32" s="73">
        <v>9.68</v>
      </c>
    </row>
    <row r="33" spans="2:7" ht="15" thickBot="1" x14ac:dyDescent="0.4">
      <c r="B33" s="68" t="s">
        <v>55</v>
      </c>
      <c r="C33" s="61">
        <v>0</v>
      </c>
      <c r="D33" s="61">
        <v>0</v>
      </c>
      <c r="E33" s="61">
        <v>7.69</v>
      </c>
      <c r="F33" s="61">
        <v>86.54</v>
      </c>
      <c r="G33" s="61">
        <v>5.77</v>
      </c>
    </row>
    <row r="34" spans="2:7" ht="15.5" thickTop="1" thickBot="1" x14ac:dyDescent="0.4">
      <c r="B34" s="69" t="s">
        <v>106</v>
      </c>
      <c r="C34" s="63">
        <v>2.23</v>
      </c>
      <c r="D34" s="63">
        <v>5.58</v>
      </c>
      <c r="E34" s="63">
        <v>30.25</v>
      </c>
      <c r="F34" s="63">
        <v>47.32</v>
      </c>
      <c r="G34" s="63">
        <v>14.62</v>
      </c>
    </row>
    <row r="35" spans="2:7" ht="16" thickTop="1" x14ac:dyDescent="0.35">
      <c r="B35" s="70" t="s">
        <v>172</v>
      </c>
      <c r="C35" s="144"/>
      <c r="D35" s="144"/>
      <c r="E35" s="144"/>
      <c r="F35" s="144"/>
      <c r="G35" s="14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B2:G35"/>
  <sheetViews>
    <sheetView workbookViewId="0">
      <selection activeCell="T47" sqref="T47"/>
    </sheetView>
  </sheetViews>
  <sheetFormatPr defaultRowHeight="14.5" x14ac:dyDescent="0.35"/>
  <cols>
    <col min="2" max="2" width="19.7265625" bestFit="1" customWidth="1"/>
    <col min="3" max="3" width="9.7265625" bestFit="1" customWidth="1"/>
    <col min="4" max="4" width="14.453125" bestFit="1" customWidth="1"/>
    <col min="5" max="5" width="14.1796875" customWidth="1"/>
    <col min="6" max="6" width="13.36328125" bestFit="1" customWidth="1"/>
    <col min="7" max="7" width="15.1796875" bestFit="1" customWidth="1"/>
    <col min="8" max="8" width="13.453125" bestFit="1" customWidth="1"/>
    <col min="9" max="9" width="11.7265625" bestFit="1" customWidth="1"/>
  </cols>
  <sheetData>
    <row r="2" spans="2:7" ht="15.5" x14ac:dyDescent="0.35">
      <c r="B2" s="57" t="s">
        <v>217</v>
      </c>
      <c r="C2" s="71"/>
      <c r="D2" s="60"/>
      <c r="E2" s="71"/>
      <c r="F2" s="60"/>
      <c r="G2" s="60"/>
    </row>
    <row r="3" spans="2:7" ht="15" thickBot="1" x14ac:dyDescent="0.4">
      <c r="B3" s="69" t="s">
        <v>25</v>
      </c>
      <c r="C3" s="69" t="s">
        <v>101</v>
      </c>
      <c r="D3" s="69" t="s">
        <v>102</v>
      </c>
      <c r="E3" s="69" t="s">
        <v>103</v>
      </c>
      <c r="F3" s="69" t="s">
        <v>104</v>
      </c>
      <c r="G3" s="69" t="s">
        <v>105</v>
      </c>
    </row>
    <row r="4" spans="2:7" ht="15" thickTop="1" x14ac:dyDescent="0.35">
      <c r="B4" s="67" t="s">
        <v>26</v>
      </c>
      <c r="C4" s="62">
        <v>0</v>
      </c>
      <c r="D4" s="62">
        <v>0</v>
      </c>
      <c r="E4" s="62">
        <v>0</v>
      </c>
      <c r="F4" s="62">
        <v>0</v>
      </c>
      <c r="G4" s="62">
        <v>0</v>
      </c>
    </row>
    <row r="5" spans="2:7" x14ac:dyDescent="0.35">
      <c r="B5" s="67" t="s">
        <v>27</v>
      </c>
      <c r="C5" s="62">
        <v>0</v>
      </c>
      <c r="D5" s="62">
        <v>10</v>
      </c>
      <c r="E5" s="62">
        <v>45</v>
      </c>
      <c r="F5" s="62">
        <v>40</v>
      </c>
      <c r="G5" s="62">
        <v>5</v>
      </c>
    </row>
    <row r="6" spans="2:7" x14ac:dyDescent="0.35">
      <c r="B6" s="67" t="s">
        <v>28</v>
      </c>
      <c r="C6" s="62">
        <v>0</v>
      </c>
      <c r="D6" s="62">
        <v>9.09</v>
      </c>
      <c r="E6" s="62">
        <v>9.09</v>
      </c>
      <c r="F6" s="62">
        <v>72.73</v>
      </c>
      <c r="G6" s="62">
        <v>9.09</v>
      </c>
    </row>
    <row r="7" spans="2:7" x14ac:dyDescent="0.35">
      <c r="B7" s="67" t="s">
        <v>29</v>
      </c>
      <c r="C7" s="62">
        <v>0</v>
      </c>
      <c r="D7" s="62">
        <v>0</v>
      </c>
      <c r="E7" s="62">
        <v>63.64</v>
      </c>
      <c r="F7" s="62">
        <v>18.18</v>
      </c>
      <c r="G7" s="62">
        <v>18.18</v>
      </c>
    </row>
    <row r="8" spans="2:7" x14ac:dyDescent="0.35">
      <c r="B8" s="67" t="s">
        <v>30</v>
      </c>
      <c r="C8" s="62">
        <v>4</v>
      </c>
      <c r="D8" s="62">
        <v>0</v>
      </c>
      <c r="E8" s="62">
        <v>44</v>
      </c>
      <c r="F8" s="62">
        <v>52</v>
      </c>
      <c r="G8" s="62">
        <v>0</v>
      </c>
    </row>
    <row r="9" spans="2:7" x14ac:dyDescent="0.35">
      <c r="B9" s="67" t="s">
        <v>31</v>
      </c>
      <c r="C9" s="62">
        <v>0</v>
      </c>
      <c r="D9" s="62">
        <v>0</v>
      </c>
      <c r="E9" s="62">
        <v>75</v>
      </c>
      <c r="F9" s="62">
        <v>25</v>
      </c>
      <c r="G9" s="62">
        <v>0</v>
      </c>
    </row>
    <row r="10" spans="2:7" x14ac:dyDescent="0.35">
      <c r="B10" s="67" t="s">
        <v>32</v>
      </c>
      <c r="C10" s="62">
        <v>2.08</v>
      </c>
      <c r="D10" s="62">
        <v>0</v>
      </c>
      <c r="E10" s="62">
        <v>54.17</v>
      </c>
      <c r="F10" s="62">
        <v>33.33</v>
      </c>
      <c r="G10" s="62">
        <v>10.42</v>
      </c>
    </row>
    <row r="11" spans="2:7" x14ac:dyDescent="0.35">
      <c r="B11" s="67" t="s">
        <v>33</v>
      </c>
      <c r="C11" s="62">
        <v>12.5</v>
      </c>
      <c r="D11" s="62">
        <v>0</v>
      </c>
      <c r="E11" s="62">
        <v>37.5</v>
      </c>
      <c r="F11" s="62">
        <v>50</v>
      </c>
      <c r="G11" s="62">
        <v>0</v>
      </c>
    </row>
    <row r="12" spans="2:7" x14ac:dyDescent="0.35">
      <c r="B12" s="67" t="s">
        <v>34</v>
      </c>
      <c r="C12" s="62">
        <v>6.25</v>
      </c>
      <c r="D12" s="62">
        <v>6.25</v>
      </c>
      <c r="E12" s="62">
        <v>25</v>
      </c>
      <c r="F12" s="62">
        <v>50</v>
      </c>
      <c r="G12" s="62">
        <v>12.5</v>
      </c>
    </row>
    <row r="13" spans="2:7" x14ac:dyDescent="0.35">
      <c r="B13" s="67" t="s">
        <v>35</v>
      </c>
      <c r="C13" s="62">
        <v>0</v>
      </c>
      <c r="D13" s="62">
        <v>0</v>
      </c>
      <c r="E13" s="62">
        <v>50</v>
      </c>
      <c r="F13" s="62">
        <v>25</v>
      </c>
      <c r="G13" s="62">
        <v>25</v>
      </c>
    </row>
    <row r="14" spans="2:7" x14ac:dyDescent="0.35">
      <c r="B14" s="67" t="s">
        <v>36</v>
      </c>
      <c r="C14" s="62">
        <v>0</v>
      </c>
      <c r="D14" s="62">
        <v>3.03</v>
      </c>
      <c r="E14" s="62">
        <v>60.61</v>
      </c>
      <c r="F14" s="62">
        <v>36.36</v>
      </c>
      <c r="G14" s="62">
        <v>0</v>
      </c>
    </row>
    <row r="15" spans="2:7" x14ac:dyDescent="0.35">
      <c r="B15" s="67" t="s">
        <v>37</v>
      </c>
      <c r="C15" s="62">
        <v>0</v>
      </c>
      <c r="D15" s="62">
        <v>33.33</v>
      </c>
      <c r="E15" s="62">
        <v>22.22</v>
      </c>
      <c r="F15" s="62">
        <v>44.44</v>
      </c>
      <c r="G15" s="62">
        <v>0</v>
      </c>
    </row>
    <row r="16" spans="2:7" x14ac:dyDescent="0.35">
      <c r="B16" s="67" t="s">
        <v>38</v>
      </c>
      <c r="C16" s="62">
        <v>0</v>
      </c>
      <c r="D16" s="62">
        <v>50</v>
      </c>
      <c r="E16" s="62">
        <v>0</v>
      </c>
      <c r="F16" s="62">
        <v>50</v>
      </c>
      <c r="G16" s="62">
        <v>0</v>
      </c>
    </row>
    <row r="17" spans="2:7" x14ac:dyDescent="0.35">
      <c r="B17" s="67" t="s">
        <v>39</v>
      </c>
      <c r="C17" s="62">
        <v>0</v>
      </c>
      <c r="D17" s="62">
        <v>0</v>
      </c>
      <c r="E17" s="62">
        <v>100</v>
      </c>
      <c r="F17" s="62">
        <v>0</v>
      </c>
      <c r="G17" s="62">
        <v>0</v>
      </c>
    </row>
    <row r="18" spans="2:7" x14ac:dyDescent="0.35">
      <c r="B18" s="67" t="s">
        <v>40</v>
      </c>
      <c r="C18" s="62">
        <v>0</v>
      </c>
      <c r="D18" s="62">
        <v>0</v>
      </c>
      <c r="E18" s="62">
        <v>0</v>
      </c>
      <c r="F18" s="62">
        <v>0</v>
      </c>
      <c r="G18" s="62">
        <v>0</v>
      </c>
    </row>
    <row r="19" spans="2:7" x14ac:dyDescent="0.35">
      <c r="B19" s="67" t="s">
        <v>41</v>
      </c>
      <c r="C19" s="62">
        <v>0</v>
      </c>
      <c r="D19" s="62">
        <v>50</v>
      </c>
      <c r="E19" s="62">
        <v>33.33</v>
      </c>
      <c r="F19" s="62">
        <v>16.670000000000002</v>
      </c>
      <c r="G19" s="62">
        <v>0</v>
      </c>
    </row>
    <row r="20" spans="2:7" x14ac:dyDescent="0.35">
      <c r="B20" s="67" t="s">
        <v>42</v>
      </c>
      <c r="C20" s="62">
        <v>0</v>
      </c>
      <c r="D20" s="62">
        <v>5</v>
      </c>
      <c r="E20" s="62">
        <v>35</v>
      </c>
      <c r="F20" s="62">
        <v>60</v>
      </c>
      <c r="G20" s="62">
        <v>0</v>
      </c>
    </row>
    <row r="21" spans="2:7" x14ac:dyDescent="0.35">
      <c r="B21" s="67" t="s">
        <v>43</v>
      </c>
      <c r="C21" s="62">
        <v>0</v>
      </c>
      <c r="D21" s="62">
        <v>0</v>
      </c>
      <c r="E21" s="62">
        <v>50</v>
      </c>
      <c r="F21" s="62">
        <v>50</v>
      </c>
      <c r="G21" s="62">
        <v>0</v>
      </c>
    </row>
    <row r="22" spans="2:7" x14ac:dyDescent="0.35">
      <c r="B22" s="67" t="s">
        <v>44</v>
      </c>
      <c r="C22" s="62">
        <v>0</v>
      </c>
      <c r="D22" s="62">
        <v>0</v>
      </c>
      <c r="E22" s="62">
        <v>15</v>
      </c>
      <c r="F22" s="62">
        <v>65</v>
      </c>
      <c r="G22" s="62">
        <v>20</v>
      </c>
    </row>
    <row r="23" spans="2:7" x14ac:dyDescent="0.35">
      <c r="B23" s="67" t="s">
        <v>45</v>
      </c>
      <c r="C23" s="62">
        <v>0</v>
      </c>
      <c r="D23" s="62">
        <v>0</v>
      </c>
      <c r="E23" s="62">
        <v>20</v>
      </c>
      <c r="F23" s="62">
        <v>80</v>
      </c>
      <c r="G23" s="62">
        <v>0</v>
      </c>
    </row>
    <row r="24" spans="2:7" x14ac:dyDescent="0.35">
      <c r="B24" s="67" t="s">
        <v>46</v>
      </c>
      <c r="C24" s="62">
        <v>0</v>
      </c>
      <c r="D24" s="62">
        <v>0</v>
      </c>
      <c r="E24" s="62">
        <v>100</v>
      </c>
      <c r="F24" s="62">
        <v>0</v>
      </c>
      <c r="G24" s="62">
        <v>0</v>
      </c>
    </row>
    <row r="25" spans="2:7" x14ac:dyDescent="0.35">
      <c r="B25" s="67" t="s">
        <v>47</v>
      </c>
      <c r="C25" s="62">
        <v>0</v>
      </c>
      <c r="D25" s="62">
        <v>25</v>
      </c>
      <c r="E25" s="62">
        <v>25</v>
      </c>
      <c r="F25" s="62">
        <v>50</v>
      </c>
      <c r="G25" s="62">
        <v>0</v>
      </c>
    </row>
    <row r="26" spans="2:7" x14ac:dyDescent="0.35">
      <c r="B26" s="67" t="s">
        <v>48</v>
      </c>
      <c r="C26" s="62">
        <v>0</v>
      </c>
      <c r="D26" s="62">
        <v>28.57</v>
      </c>
      <c r="E26" s="62">
        <v>42.86</v>
      </c>
      <c r="F26" s="62">
        <v>28.57</v>
      </c>
      <c r="G26" s="62">
        <v>0</v>
      </c>
    </row>
    <row r="27" spans="2:7" x14ac:dyDescent="0.35">
      <c r="B27" s="67" t="s">
        <v>49</v>
      </c>
      <c r="C27" s="62">
        <v>5.13</v>
      </c>
      <c r="D27" s="62">
        <v>3.85</v>
      </c>
      <c r="E27" s="62">
        <v>26.92</v>
      </c>
      <c r="F27" s="62">
        <v>39.74</v>
      </c>
      <c r="G27" s="62">
        <v>24.36</v>
      </c>
    </row>
    <row r="28" spans="2:7" x14ac:dyDescent="0.35">
      <c r="B28" s="67" t="s">
        <v>50</v>
      </c>
      <c r="C28" s="62">
        <v>3.03</v>
      </c>
      <c r="D28" s="62">
        <v>0</v>
      </c>
      <c r="E28" s="62">
        <v>10.61</v>
      </c>
      <c r="F28" s="62">
        <v>72.73</v>
      </c>
      <c r="G28" s="62">
        <v>13.64</v>
      </c>
    </row>
    <row r="29" spans="2:7" x14ac:dyDescent="0.35">
      <c r="B29" s="67" t="s">
        <v>51</v>
      </c>
      <c r="C29" s="62">
        <v>0</v>
      </c>
      <c r="D29" s="62">
        <v>0</v>
      </c>
      <c r="E29" s="62">
        <v>23.08</v>
      </c>
      <c r="F29" s="62">
        <v>46.15</v>
      </c>
      <c r="G29" s="62">
        <v>30.77</v>
      </c>
    </row>
    <row r="30" spans="2:7" x14ac:dyDescent="0.35">
      <c r="B30" s="67" t="s">
        <v>52</v>
      </c>
      <c r="C30" s="62">
        <v>6.74</v>
      </c>
      <c r="D30" s="62">
        <v>4.49</v>
      </c>
      <c r="E30" s="62">
        <v>22.47</v>
      </c>
      <c r="F30" s="62">
        <v>30.34</v>
      </c>
      <c r="G30" s="62">
        <v>35.96</v>
      </c>
    </row>
    <row r="31" spans="2:7" x14ac:dyDescent="0.35">
      <c r="B31" s="67" t="s">
        <v>53</v>
      </c>
      <c r="C31" s="62">
        <v>0</v>
      </c>
      <c r="D31" s="62">
        <v>4.55</v>
      </c>
      <c r="E31" s="62">
        <v>31.82</v>
      </c>
      <c r="F31" s="62">
        <v>63.64</v>
      </c>
      <c r="G31" s="62">
        <v>0</v>
      </c>
    </row>
    <row r="32" spans="2:7" x14ac:dyDescent="0.35">
      <c r="B32" s="72" t="s">
        <v>54</v>
      </c>
      <c r="C32" s="73">
        <v>5.56</v>
      </c>
      <c r="D32" s="73">
        <v>5.56</v>
      </c>
      <c r="E32" s="73">
        <v>55.56</v>
      </c>
      <c r="F32" s="73">
        <v>22.22</v>
      </c>
      <c r="G32" s="73">
        <v>11.11</v>
      </c>
    </row>
    <row r="33" spans="2:7" ht="15" thickBot="1" x14ac:dyDescent="0.4">
      <c r="B33" s="68" t="s">
        <v>55</v>
      </c>
      <c r="C33" s="61">
        <v>1.59</v>
      </c>
      <c r="D33" s="61">
        <v>3.17</v>
      </c>
      <c r="E33" s="61">
        <v>6.35</v>
      </c>
      <c r="F33" s="61">
        <v>80.95</v>
      </c>
      <c r="G33" s="61">
        <v>7.94</v>
      </c>
    </row>
    <row r="34" spans="2:7" ht="15.5" thickTop="1" thickBot="1" x14ac:dyDescent="0.4">
      <c r="B34" s="69" t="s">
        <v>106</v>
      </c>
      <c r="C34" s="63">
        <v>2.73</v>
      </c>
      <c r="D34" s="63">
        <v>4.0999999999999996</v>
      </c>
      <c r="E34" s="63">
        <v>31.41</v>
      </c>
      <c r="F34" s="63">
        <v>47.5</v>
      </c>
      <c r="G34" s="63">
        <v>14.26</v>
      </c>
    </row>
    <row r="35" spans="2:7" ht="16" thickTop="1" x14ac:dyDescent="0.35">
      <c r="B35" s="70" t="s">
        <v>172</v>
      </c>
      <c r="C35" s="144"/>
      <c r="D35" s="144"/>
      <c r="E35" s="144"/>
      <c r="F35" s="144"/>
      <c r="G35" s="14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B3:I36"/>
  <sheetViews>
    <sheetView tabSelected="1" topLeftCell="D1" workbookViewId="0">
      <selection activeCell="T47" sqref="T47"/>
    </sheetView>
  </sheetViews>
  <sheetFormatPr defaultRowHeight="14.5" x14ac:dyDescent="0.35"/>
  <cols>
    <col min="2" max="2" width="13.54296875" customWidth="1"/>
    <col min="3" max="3" width="9.453125" bestFit="1" customWidth="1"/>
    <col min="4" max="4" width="15.26953125" bestFit="1" customWidth="1"/>
    <col min="5" max="5" width="12" bestFit="1" customWidth="1"/>
    <col min="6" max="6" width="13.1796875" bestFit="1" customWidth="1"/>
    <col min="7" max="7" width="15.54296875" bestFit="1" customWidth="1"/>
  </cols>
  <sheetData>
    <row r="3" spans="2:9" ht="16" thickBot="1" x14ac:dyDescent="0.4">
      <c r="B3" s="19" t="s">
        <v>218</v>
      </c>
    </row>
    <row r="4" spans="2:9" ht="15.5" thickTop="1" thickBot="1" x14ac:dyDescent="0.4">
      <c r="B4" s="20" t="s">
        <v>25</v>
      </c>
      <c r="C4" s="21" t="s">
        <v>101</v>
      </c>
      <c r="D4" s="21" t="s">
        <v>102</v>
      </c>
      <c r="E4" s="22" t="s">
        <v>103</v>
      </c>
      <c r="F4" s="21" t="s">
        <v>104</v>
      </c>
      <c r="G4" s="21" t="s">
        <v>105</v>
      </c>
    </row>
    <row r="5" spans="2:9" ht="15" thickTop="1" x14ac:dyDescent="0.35">
      <c r="B5" s="12" t="s">
        <v>26</v>
      </c>
      <c r="C5" s="62">
        <v>0</v>
      </c>
      <c r="D5" s="62">
        <v>0</v>
      </c>
      <c r="E5" s="16">
        <v>53.33</v>
      </c>
      <c r="F5" s="16">
        <v>46.67</v>
      </c>
      <c r="G5" s="62">
        <v>0</v>
      </c>
    </row>
    <row r="6" spans="2:9" x14ac:dyDescent="0.35">
      <c r="B6" s="12" t="s">
        <v>27</v>
      </c>
      <c r="C6" s="62">
        <v>0</v>
      </c>
      <c r="D6" s="62">
        <v>0</v>
      </c>
      <c r="E6" s="16">
        <v>40</v>
      </c>
      <c r="F6" s="16">
        <v>60</v>
      </c>
      <c r="G6" s="62">
        <v>0</v>
      </c>
    </row>
    <row r="7" spans="2:9" x14ac:dyDescent="0.35">
      <c r="B7" s="12" t="s">
        <v>28</v>
      </c>
      <c r="C7" s="62">
        <v>0</v>
      </c>
      <c r="D7" s="62">
        <v>0</v>
      </c>
      <c r="E7" s="62">
        <v>0</v>
      </c>
      <c r="F7" s="16">
        <v>94.44</v>
      </c>
      <c r="G7" s="62">
        <v>5.56</v>
      </c>
    </row>
    <row r="8" spans="2:9" x14ac:dyDescent="0.35">
      <c r="B8" s="12" t="s">
        <v>29</v>
      </c>
      <c r="C8" s="62">
        <v>0</v>
      </c>
      <c r="D8" s="62">
        <v>0</v>
      </c>
      <c r="E8" s="16">
        <v>63.16</v>
      </c>
      <c r="F8" s="16">
        <v>15.79</v>
      </c>
      <c r="G8" s="16">
        <v>21.05</v>
      </c>
    </row>
    <row r="9" spans="2:9" x14ac:dyDescent="0.35">
      <c r="B9" s="12" t="s">
        <v>30</v>
      </c>
      <c r="C9" s="62">
        <v>0</v>
      </c>
      <c r="D9" s="62">
        <v>0</v>
      </c>
      <c r="E9" s="16">
        <v>63.64</v>
      </c>
      <c r="F9" s="16">
        <v>36.36</v>
      </c>
      <c r="G9" s="62">
        <v>0</v>
      </c>
    </row>
    <row r="10" spans="2:9" x14ac:dyDescent="0.35">
      <c r="B10" s="12" t="s">
        <v>31</v>
      </c>
      <c r="C10" s="62">
        <v>20.69</v>
      </c>
      <c r="D10" s="62">
        <v>0</v>
      </c>
      <c r="E10" s="16">
        <v>27.59</v>
      </c>
      <c r="F10" s="16">
        <v>51.72</v>
      </c>
      <c r="G10" s="62">
        <v>0</v>
      </c>
    </row>
    <row r="11" spans="2:9" x14ac:dyDescent="0.35">
      <c r="B11" s="12" t="s">
        <v>32</v>
      </c>
      <c r="C11" s="16">
        <v>0</v>
      </c>
      <c r="D11" s="62">
        <v>0</v>
      </c>
      <c r="E11" s="16">
        <v>63.04</v>
      </c>
      <c r="F11" s="16">
        <v>36.96</v>
      </c>
      <c r="G11" s="62">
        <v>0</v>
      </c>
    </row>
    <row r="12" spans="2:9" x14ac:dyDescent="0.35">
      <c r="B12" s="12" t="s">
        <v>33</v>
      </c>
      <c r="C12" s="62">
        <v>0</v>
      </c>
      <c r="D12" s="62">
        <v>0</v>
      </c>
      <c r="E12" s="16">
        <v>29.41</v>
      </c>
      <c r="F12" s="16">
        <v>70.59</v>
      </c>
      <c r="G12" s="62">
        <v>0</v>
      </c>
    </row>
    <row r="13" spans="2:9" x14ac:dyDescent="0.35">
      <c r="B13" s="12" t="s">
        <v>34</v>
      </c>
      <c r="C13" s="62">
        <v>0</v>
      </c>
      <c r="D13" s="62">
        <v>0</v>
      </c>
      <c r="E13" s="16">
        <v>48.39</v>
      </c>
      <c r="F13" s="16">
        <v>51.61</v>
      </c>
      <c r="G13" s="62">
        <v>0</v>
      </c>
    </row>
    <row r="14" spans="2:9" x14ac:dyDescent="0.35">
      <c r="B14" s="12" t="s">
        <v>35</v>
      </c>
      <c r="C14" s="62">
        <v>0</v>
      </c>
      <c r="D14" s="62">
        <v>0</v>
      </c>
      <c r="E14" s="16">
        <v>45.45</v>
      </c>
      <c r="F14" s="16">
        <v>52.73</v>
      </c>
      <c r="G14" s="62">
        <v>1.82</v>
      </c>
    </row>
    <row r="15" spans="2:9" x14ac:dyDescent="0.35">
      <c r="B15" s="12" t="s">
        <v>36</v>
      </c>
      <c r="C15" s="62">
        <v>2.5</v>
      </c>
      <c r="D15" s="62">
        <v>2.5</v>
      </c>
      <c r="E15" s="16">
        <v>55</v>
      </c>
      <c r="F15" s="16">
        <v>40</v>
      </c>
      <c r="G15" s="62">
        <v>0</v>
      </c>
    </row>
    <row r="16" spans="2:9" x14ac:dyDescent="0.35">
      <c r="B16" s="12" t="s">
        <v>37</v>
      </c>
      <c r="C16" s="62">
        <v>0</v>
      </c>
      <c r="D16" s="62">
        <v>0</v>
      </c>
      <c r="E16" s="16">
        <v>37.93</v>
      </c>
      <c r="F16" s="16">
        <v>48.28</v>
      </c>
      <c r="G16" s="16">
        <v>13.79</v>
      </c>
      <c r="I16" s="62"/>
    </row>
    <row r="17" spans="2:7" x14ac:dyDescent="0.35">
      <c r="B17" s="12" t="s">
        <v>38</v>
      </c>
      <c r="C17" s="62">
        <v>0</v>
      </c>
      <c r="D17" s="62">
        <v>0</v>
      </c>
      <c r="E17" s="62">
        <v>0</v>
      </c>
      <c r="F17" s="16">
        <v>100</v>
      </c>
      <c r="G17" s="62">
        <v>0</v>
      </c>
    </row>
    <row r="18" spans="2:7" x14ac:dyDescent="0.35">
      <c r="B18" s="12" t="s">
        <v>39</v>
      </c>
      <c r="C18" s="62">
        <v>0</v>
      </c>
      <c r="D18" s="16">
        <v>0</v>
      </c>
      <c r="E18" s="62">
        <v>0</v>
      </c>
      <c r="F18" s="16">
        <v>100</v>
      </c>
      <c r="G18" s="62">
        <v>0</v>
      </c>
    </row>
    <row r="19" spans="2:7" x14ac:dyDescent="0.35">
      <c r="B19" s="12" t="s">
        <v>40</v>
      </c>
      <c r="C19" s="62">
        <v>0</v>
      </c>
      <c r="D19" s="62">
        <v>0</v>
      </c>
      <c r="E19" s="16">
        <v>66.67</v>
      </c>
      <c r="F19" s="16">
        <v>33.33</v>
      </c>
      <c r="G19" s="62">
        <v>0</v>
      </c>
    </row>
    <row r="20" spans="2:7" x14ac:dyDescent="0.35">
      <c r="B20" s="12" t="s">
        <v>41</v>
      </c>
      <c r="C20" s="62">
        <v>0</v>
      </c>
      <c r="D20" s="62">
        <v>0</v>
      </c>
      <c r="E20" s="16">
        <v>100</v>
      </c>
      <c r="F20" s="16">
        <v>0</v>
      </c>
      <c r="G20" s="62">
        <v>0</v>
      </c>
    </row>
    <row r="21" spans="2:7" x14ac:dyDescent="0.35">
      <c r="B21" s="12" t="s">
        <v>42</v>
      </c>
      <c r="C21" s="16">
        <v>2.44</v>
      </c>
      <c r="D21" s="62">
        <v>0</v>
      </c>
      <c r="E21" s="16">
        <v>70.73</v>
      </c>
      <c r="F21" s="16">
        <v>26.83</v>
      </c>
      <c r="G21" s="62">
        <v>0</v>
      </c>
    </row>
    <row r="22" spans="2:7" x14ac:dyDescent="0.35">
      <c r="B22" s="12" t="s">
        <v>43</v>
      </c>
      <c r="C22" s="62">
        <v>0</v>
      </c>
      <c r="D22" s="62">
        <v>0</v>
      </c>
      <c r="E22" s="16">
        <v>20</v>
      </c>
      <c r="F22" s="16">
        <v>80</v>
      </c>
      <c r="G22" s="62">
        <v>0</v>
      </c>
    </row>
    <row r="23" spans="2:7" x14ac:dyDescent="0.35">
      <c r="B23" s="12" t="s">
        <v>44</v>
      </c>
      <c r="C23" s="62">
        <v>0</v>
      </c>
      <c r="D23" s="62">
        <v>0</v>
      </c>
      <c r="E23" s="16">
        <v>5.88</v>
      </c>
      <c r="F23" s="16">
        <v>58.82</v>
      </c>
      <c r="G23" s="16">
        <v>35.29</v>
      </c>
    </row>
    <row r="24" spans="2:7" x14ac:dyDescent="0.35">
      <c r="B24" s="12" t="s">
        <v>45</v>
      </c>
      <c r="C24" s="62">
        <v>20</v>
      </c>
      <c r="D24" s="62">
        <v>0</v>
      </c>
      <c r="E24" s="16">
        <v>40</v>
      </c>
      <c r="F24" s="16">
        <v>40</v>
      </c>
      <c r="G24" s="62">
        <v>0</v>
      </c>
    </row>
    <row r="25" spans="2:7" x14ac:dyDescent="0.35">
      <c r="B25" s="12" t="s">
        <v>46</v>
      </c>
      <c r="C25" s="62">
        <v>0</v>
      </c>
      <c r="D25" s="16">
        <v>12.5</v>
      </c>
      <c r="E25" s="16">
        <v>37.5</v>
      </c>
      <c r="F25" s="16">
        <v>50</v>
      </c>
      <c r="G25" s="62">
        <v>0</v>
      </c>
    </row>
    <row r="26" spans="2:7" x14ac:dyDescent="0.35">
      <c r="B26" s="12" t="s">
        <v>47</v>
      </c>
      <c r="C26" s="62">
        <v>0</v>
      </c>
      <c r="D26" s="62">
        <v>0</v>
      </c>
      <c r="E26" s="16">
        <v>71.430000000000007</v>
      </c>
      <c r="F26" s="16">
        <v>28.57</v>
      </c>
      <c r="G26" s="62">
        <v>0</v>
      </c>
    </row>
    <row r="27" spans="2:7" x14ac:dyDescent="0.35">
      <c r="B27" s="12" t="s">
        <v>48</v>
      </c>
      <c r="C27" s="62">
        <v>0</v>
      </c>
      <c r="D27" s="62">
        <v>0</v>
      </c>
      <c r="E27" s="16">
        <v>66.67</v>
      </c>
      <c r="F27" s="16">
        <v>33.33</v>
      </c>
      <c r="G27" s="62">
        <v>0</v>
      </c>
    </row>
    <row r="28" spans="2:7" x14ac:dyDescent="0.35">
      <c r="B28" s="12" t="s">
        <v>49</v>
      </c>
      <c r="C28" s="62">
        <v>0</v>
      </c>
      <c r="D28" s="62">
        <v>0</v>
      </c>
      <c r="E28" s="62">
        <v>8.33</v>
      </c>
      <c r="F28" s="16">
        <v>75</v>
      </c>
      <c r="G28" s="16">
        <v>16.670000000000002</v>
      </c>
    </row>
    <row r="29" spans="2:7" x14ac:dyDescent="0.35">
      <c r="B29" s="12" t="s">
        <v>50</v>
      </c>
      <c r="C29" s="62">
        <v>4.17</v>
      </c>
      <c r="D29" s="62">
        <v>0</v>
      </c>
      <c r="E29" s="16">
        <v>29.17</v>
      </c>
      <c r="F29" s="16">
        <v>50</v>
      </c>
      <c r="G29" s="16">
        <v>16.670000000000002</v>
      </c>
    </row>
    <row r="30" spans="2:7" x14ac:dyDescent="0.35">
      <c r="B30" s="12" t="s">
        <v>51</v>
      </c>
      <c r="C30" s="62">
        <v>0</v>
      </c>
      <c r="D30" s="16">
        <v>0</v>
      </c>
      <c r="E30" s="16">
        <v>51.52</v>
      </c>
      <c r="F30" s="16">
        <v>45.45</v>
      </c>
      <c r="G30" s="16">
        <v>3.03</v>
      </c>
    </row>
    <row r="31" spans="2:7" x14ac:dyDescent="0.35">
      <c r="B31" s="12" t="s">
        <v>52</v>
      </c>
      <c r="C31" s="16">
        <v>0</v>
      </c>
      <c r="D31" s="62">
        <v>0</v>
      </c>
      <c r="E31" s="16">
        <v>40</v>
      </c>
      <c r="F31" s="16">
        <v>53.33</v>
      </c>
      <c r="G31" s="16">
        <v>6.67</v>
      </c>
    </row>
    <row r="32" spans="2:7" x14ac:dyDescent="0.35">
      <c r="B32" s="12" t="s">
        <v>53</v>
      </c>
      <c r="C32" s="62">
        <v>0</v>
      </c>
      <c r="D32" s="62">
        <v>2.7</v>
      </c>
      <c r="E32" s="16">
        <v>16.22</v>
      </c>
      <c r="F32" s="16">
        <v>75.680000000000007</v>
      </c>
      <c r="G32" s="16">
        <v>5.41</v>
      </c>
    </row>
    <row r="33" spans="2:7" x14ac:dyDescent="0.35">
      <c r="B33" s="12" t="s">
        <v>54</v>
      </c>
      <c r="C33" s="62">
        <v>0</v>
      </c>
      <c r="D33" s="62">
        <v>0</v>
      </c>
      <c r="E33" s="16">
        <v>44.12</v>
      </c>
      <c r="F33" s="16">
        <v>44.12</v>
      </c>
      <c r="G33" s="16">
        <v>11.76</v>
      </c>
    </row>
    <row r="34" spans="2:7" x14ac:dyDescent="0.35">
      <c r="B34" s="12" t="s">
        <v>55</v>
      </c>
      <c r="C34" s="62">
        <v>3.03</v>
      </c>
      <c r="D34" s="62">
        <v>0</v>
      </c>
      <c r="E34" s="16">
        <v>30.3</v>
      </c>
      <c r="F34" s="16">
        <v>66.67</v>
      </c>
      <c r="G34" s="62">
        <v>0</v>
      </c>
    </row>
    <row r="35" spans="2:7" ht="15" thickBot="1" x14ac:dyDescent="0.4">
      <c r="B35" s="87" t="s">
        <v>71</v>
      </c>
      <c r="C35" s="86">
        <v>1.48</v>
      </c>
      <c r="D35" s="86">
        <v>0.4</v>
      </c>
      <c r="E35" s="86">
        <v>42.99</v>
      </c>
      <c r="F35" s="86">
        <v>49.33</v>
      </c>
      <c r="G35" s="86">
        <v>5.8</v>
      </c>
    </row>
    <row r="36" spans="2:7" ht="16" thickTop="1" x14ac:dyDescent="0.35">
      <c r="B36" s="7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11</vt:i4>
      </vt:variant>
    </vt:vector>
  </HeadingPairs>
  <TitlesOfParts>
    <vt:vector size="29" baseType="lpstr">
      <vt:lpstr>Contents</vt:lpstr>
      <vt:lpstr>Table 0</vt:lpstr>
      <vt:lpstr>Table 1</vt:lpstr>
      <vt:lpstr>Table 2</vt:lpstr>
      <vt:lpstr>Table 3</vt:lpstr>
      <vt:lpstr>Table 4</vt:lpstr>
      <vt:lpstr>Table 5</vt:lpstr>
      <vt:lpstr>Table 6</vt:lpstr>
      <vt:lpstr>Table 7</vt:lpstr>
      <vt:lpstr>Table 19</vt:lpstr>
      <vt:lpstr>Table 20</vt:lpstr>
      <vt:lpstr>Table 21</vt:lpstr>
      <vt:lpstr>Table 67</vt:lpstr>
      <vt:lpstr>Table 68</vt:lpstr>
      <vt:lpstr>Table 69</vt:lpstr>
      <vt:lpstr>Table 70</vt:lpstr>
      <vt:lpstr>Table 71</vt:lpstr>
      <vt:lpstr>Table 72</vt:lpstr>
      <vt:lpstr>'Table 4'!_Hlk33513191</vt:lpstr>
      <vt:lpstr>'Table 1'!_Toc154754206</vt:lpstr>
      <vt:lpstr>'Table 3'!_Toc154754208</vt:lpstr>
      <vt:lpstr>'Table 4'!_Toc154754209</vt:lpstr>
      <vt:lpstr>'Table 21'!_Toc154754223</vt:lpstr>
      <vt:lpstr>'Table 72'!_Toc154754274</vt:lpstr>
      <vt:lpstr>'Table 67'!_Toc99520063</vt:lpstr>
      <vt:lpstr>'Table 68'!_Toc99520063</vt:lpstr>
      <vt:lpstr>'Table 70'!_Toc99520064</vt:lpstr>
      <vt:lpstr>'Table 71'!_Toc99520064</vt:lpstr>
      <vt:lpstr>Contents!Print_Area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</dc:creator>
  <cp:lastModifiedBy>Angelique Musabe</cp:lastModifiedBy>
  <dcterms:created xsi:type="dcterms:W3CDTF">2023-12-29T13:14:27Z</dcterms:created>
  <dcterms:modified xsi:type="dcterms:W3CDTF">2026-10-16T09:51:03Z</dcterms:modified>
</cp:coreProperties>
</file>